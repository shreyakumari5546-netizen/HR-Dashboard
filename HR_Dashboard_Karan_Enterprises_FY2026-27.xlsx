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nta\OneDrive\Desktop\"/>
    </mc:Choice>
  </mc:AlternateContent>
  <xr:revisionPtr revIDLastSave="0" documentId="13_ncr:1_{340A397D-699B-430A-80A4-285372C1D9B0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Company Summary" sheetId="2" r:id="rId2"/>
    <sheet name="Master Data" sheetId="3" r:id="rId3"/>
    <sheet name="Lists" sheetId="5" state="hidden" r:id="rId4"/>
  </sheets>
  <externalReferences>
    <externalReference r:id="rId5"/>
  </externalReferences>
  <definedNames>
    <definedName name="_xlnm._FilterDatabase" localSheetId="2" hidden="1">'Master Data'!$A$1:$S$371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3" l="1"/>
  <c r="K4" i="3"/>
  <c r="K5" i="3"/>
  <c r="K10" i="3"/>
  <c r="K11" i="3"/>
  <c r="K12" i="3"/>
  <c r="K13" i="3"/>
  <c r="K18" i="3"/>
  <c r="K19" i="3"/>
  <c r="K21" i="3"/>
  <c r="K22" i="3"/>
  <c r="K24" i="3"/>
  <c r="K25" i="3"/>
  <c r="K26" i="3"/>
  <c r="K28" i="3"/>
  <c r="K29" i="3"/>
  <c r="K30" i="3"/>
  <c r="K31" i="3"/>
  <c r="K33" i="3"/>
  <c r="K34" i="3"/>
  <c r="K36" i="3"/>
  <c r="K40" i="3"/>
  <c r="K42" i="3"/>
  <c r="K43" i="3"/>
  <c r="K44" i="3"/>
  <c r="K45" i="3"/>
  <c r="K47" i="3"/>
  <c r="K48" i="3"/>
  <c r="K50" i="3"/>
  <c r="K51" i="3"/>
  <c r="K53" i="3"/>
  <c r="K55" i="3"/>
  <c r="K58" i="3"/>
  <c r="K59" i="3"/>
  <c r="K60" i="3"/>
  <c r="K62" i="3"/>
  <c r="K64" i="3"/>
  <c r="K67" i="3"/>
  <c r="K68" i="3"/>
  <c r="K70" i="3"/>
  <c r="K72" i="3"/>
  <c r="K76" i="3"/>
  <c r="K77" i="3"/>
  <c r="K78" i="3"/>
  <c r="K82" i="3"/>
  <c r="K83" i="3"/>
  <c r="K84" i="3"/>
  <c r="K85" i="3"/>
  <c r="K86" i="3"/>
  <c r="K87" i="3"/>
  <c r="K88" i="3"/>
  <c r="K89" i="3"/>
  <c r="K91" i="3"/>
  <c r="K93" i="3"/>
  <c r="K94" i="3"/>
  <c r="K95" i="3"/>
  <c r="K97" i="3"/>
  <c r="K100" i="3"/>
  <c r="K102" i="3"/>
  <c r="K103" i="3"/>
  <c r="K104" i="3"/>
  <c r="K105" i="3"/>
  <c r="K106" i="3"/>
  <c r="K109" i="3"/>
  <c r="K111" i="3"/>
  <c r="K112" i="3"/>
  <c r="K113" i="3"/>
  <c r="K114" i="3"/>
  <c r="K115" i="3"/>
  <c r="K117" i="3"/>
  <c r="K118" i="3"/>
  <c r="K119" i="3"/>
  <c r="K120" i="3"/>
  <c r="K121" i="3"/>
  <c r="K122" i="3"/>
  <c r="K125" i="3"/>
  <c r="K126" i="3"/>
  <c r="K127" i="3"/>
  <c r="K128" i="3"/>
  <c r="K130" i="3"/>
  <c r="K131" i="3"/>
  <c r="K132" i="3"/>
  <c r="K133" i="3"/>
  <c r="K134" i="3"/>
  <c r="K135" i="3"/>
  <c r="K136" i="3"/>
  <c r="K137" i="3"/>
  <c r="K138" i="3"/>
  <c r="K140" i="3"/>
  <c r="K141" i="3"/>
  <c r="K142" i="3"/>
  <c r="K144" i="3"/>
  <c r="K145" i="3"/>
  <c r="K147" i="3"/>
  <c r="K149" i="3"/>
  <c r="K150" i="3"/>
  <c r="K153" i="3"/>
  <c r="K158" i="3"/>
  <c r="K159" i="3"/>
  <c r="K160" i="3"/>
  <c r="K163" i="3"/>
  <c r="K164" i="3"/>
  <c r="K166" i="3"/>
  <c r="K167" i="3"/>
  <c r="K168" i="3"/>
  <c r="K172" i="3"/>
  <c r="K173" i="3"/>
  <c r="K175" i="3"/>
  <c r="K176" i="3"/>
  <c r="K180" i="3"/>
  <c r="K183" i="3"/>
  <c r="K185" i="3"/>
  <c r="I184" i="3"/>
  <c r="I185" i="3"/>
  <c r="O183" i="3"/>
  <c r="O184" i="3"/>
  <c r="P184" i="3"/>
  <c r="O185" i="3"/>
  <c r="P185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2" i="3"/>
  <c r="P183" i="3" l="1"/>
  <c r="I183" i="3" l="1"/>
  <c r="P182" i="3"/>
  <c r="O182" i="3"/>
  <c r="I182" i="3"/>
  <c r="P181" i="3"/>
  <c r="O181" i="3"/>
  <c r="I181" i="3"/>
  <c r="P180" i="3"/>
  <c r="O180" i="3"/>
  <c r="P179" i="3"/>
  <c r="O179" i="3"/>
  <c r="P178" i="3"/>
  <c r="O178" i="3"/>
  <c r="P177" i="3"/>
  <c r="O177" i="3"/>
  <c r="P176" i="3"/>
  <c r="O176" i="3"/>
  <c r="I176" i="3"/>
  <c r="P175" i="3"/>
  <c r="O175" i="3"/>
  <c r="I175" i="3"/>
  <c r="P174" i="3"/>
  <c r="O174" i="3"/>
  <c r="I174" i="3"/>
  <c r="P173" i="3"/>
  <c r="O173" i="3"/>
  <c r="I173" i="3"/>
  <c r="P172" i="3"/>
  <c r="O172" i="3"/>
  <c r="I172" i="3"/>
  <c r="P171" i="3"/>
  <c r="O171" i="3"/>
  <c r="I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I165" i="3"/>
  <c r="P164" i="3"/>
  <c r="O164" i="3"/>
  <c r="I164" i="3"/>
  <c r="P163" i="3"/>
  <c r="O163" i="3"/>
  <c r="I163" i="3"/>
  <c r="P162" i="3"/>
  <c r="O162" i="3"/>
  <c r="I162" i="3"/>
  <c r="P161" i="3"/>
  <c r="O161" i="3"/>
  <c r="I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I153" i="3"/>
  <c r="P152" i="3"/>
  <c r="O152" i="3"/>
  <c r="I152" i="3"/>
  <c r="P151" i="3"/>
  <c r="O151" i="3"/>
  <c r="P150" i="3"/>
  <c r="O150" i="3"/>
  <c r="P149" i="3"/>
  <c r="O149" i="3"/>
  <c r="P148" i="3"/>
  <c r="O148" i="3"/>
  <c r="P147" i="3"/>
  <c r="O147" i="3"/>
  <c r="P145" i="3"/>
  <c r="O145" i="3"/>
  <c r="P144" i="3"/>
  <c r="O144" i="3"/>
  <c r="P143" i="3"/>
  <c r="O143" i="3"/>
  <c r="P141" i="3"/>
  <c r="O141" i="3"/>
  <c r="I141" i="3"/>
  <c r="P140" i="3"/>
  <c r="O140" i="3"/>
  <c r="I140" i="3"/>
  <c r="I139" i="3"/>
  <c r="I138" i="3"/>
  <c r="P137" i="3"/>
  <c r="O137" i="3"/>
  <c r="I137" i="3"/>
  <c r="P136" i="3"/>
  <c r="O136" i="3"/>
  <c r="I136" i="3"/>
  <c r="P135" i="3"/>
  <c r="O135" i="3"/>
  <c r="I135" i="3"/>
  <c r="I134" i="3"/>
  <c r="P133" i="3"/>
  <c r="O133" i="3"/>
  <c r="P131" i="3"/>
  <c r="O131" i="3"/>
  <c r="P130" i="3"/>
  <c r="O130" i="3"/>
  <c r="P129" i="3"/>
  <c r="O129" i="3"/>
  <c r="I129" i="3"/>
  <c r="P128" i="3"/>
  <c r="O128" i="3"/>
  <c r="I128" i="3"/>
  <c r="P127" i="3"/>
  <c r="O127" i="3"/>
  <c r="I127" i="3"/>
  <c r="P126" i="3"/>
  <c r="O126" i="3"/>
  <c r="I126" i="3"/>
  <c r="P125" i="3"/>
  <c r="O125" i="3"/>
  <c r="I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I117" i="3"/>
  <c r="P116" i="3"/>
  <c r="O116" i="3"/>
  <c r="I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I108" i="3"/>
  <c r="I107" i="3"/>
  <c r="P106" i="3"/>
  <c r="O106" i="3"/>
  <c r="P105" i="3"/>
  <c r="O105" i="3"/>
  <c r="I105" i="3"/>
  <c r="P104" i="3"/>
  <c r="O104" i="3"/>
  <c r="I104" i="3"/>
  <c r="P103" i="3"/>
  <c r="O103" i="3"/>
  <c r="I103" i="3"/>
  <c r="P102" i="3"/>
  <c r="O102" i="3"/>
  <c r="I102" i="3"/>
  <c r="P101" i="3"/>
  <c r="O101" i="3"/>
  <c r="I101" i="3"/>
  <c r="P100" i="3"/>
  <c r="O100" i="3"/>
  <c r="I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I93" i="3"/>
  <c r="P92" i="3"/>
  <c r="O92" i="3"/>
  <c r="I92" i="3"/>
  <c r="P91" i="3"/>
  <c r="O91" i="3"/>
  <c r="I91" i="3"/>
  <c r="P90" i="3"/>
  <c r="O90" i="3"/>
  <c r="P89" i="3"/>
  <c r="O89" i="3"/>
  <c r="P88" i="3"/>
  <c r="O88" i="3"/>
  <c r="O87" i="3"/>
  <c r="I87" i="3"/>
  <c r="P86" i="3"/>
  <c r="O86" i="3"/>
  <c r="I86" i="3"/>
  <c r="I85" i="3"/>
  <c r="P84" i="3"/>
  <c r="O84" i="3"/>
  <c r="I84" i="3"/>
  <c r="P83" i="3"/>
  <c r="O83" i="3"/>
  <c r="P82" i="3"/>
  <c r="O82" i="3"/>
  <c r="P81" i="3"/>
  <c r="O81" i="3"/>
  <c r="I81" i="3"/>
  <c r="P80" i="3"/>
  <c r="O80" i="3"/>
  <c r="I80" i="3"/>
  <c r="P79" i="3"/>
  <c r="O79" i="3"/>
  <c r="I79" i="3"/>
  <c r="P78" i="3"/>
  <c r="O78" i="3"/>
  <c r="I78" i="3"/>
  <c r="P77" i="3"/>
  <c r="O77" i="3"/>
  <c r="I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7" i="3"/>
  <c r="O67" i="3"/>
  <c r="P66" i="3"/>
  <c r="O66" i="3"/>
  <c r="I66" i="3"/>
  <c r="P65" i="3"/>
  <c r="O65" i="3"/>
  <c r="I65" i="3"/>
  <c r="P64" i="3"/>
  <c r="O64" i="3"/>
  <c r="I64" i="3"/>
  <c r="P63" i="3"/>
  <c r="O63" i="3"/>
  <c r="I63" i="3"/>
  <c r="I62" i="3"/>
  <c r="P61" i="3"/>
  <c r="O61" i="3"/>
  <c r="P60" i="3"/>
  <c r="O60" i="3"/>
  <c r="P59" i="3"/>
  <c r="O59" i="3"/>
  <c r="P58" i="3"/>
  <c r="O58" i="3"/>
  <c r="P57" i="3"/>
  <c r="O57" i="3"/>
  <c r="I57" i="3"/>
  <c r="P56" i="3"/>
  <c r="O56" i="3"/>
  <c r="I56" i="3"/>
  <c r="P55" i="3"/>
  <c r="O55" i="3"/>
  <c r="I55" i="3"/>
  <c r="P53" i="3"/>
  <c r="O53" i="3"/>
  <c r="P52" i="3"/>
  <c r="O52" i="3"/>
  <c r="P50" i="3"/>
  <c r="O50" i="3"/>
  <c r="P49" i="3"/>
  <c r="O49" i="3"/>
  <c r="P48" i="3"/>
  <c r="O48" i="3"/>
  <c r="I48" i="3"/>
  <c r="P47" i="3"/>
  <c r="O47" i="3"/>
  <c r="P45" i="3"/>
  <c r="O45" i="3"/>
  <c r="I45" i="3"/>
  <c r="P44" i="3"/>
  <c r="O44" i="3"/>
  <c r="I44" i="3"/>
  <c r="P43" i="3"/>
  <c r="O43" i="3"/>
  <c r="I43" i="3"/>
  <c r="P42" i="3"/>
  <c r="O42" i="3"/>
  <c r="I42" i="3"/>
  <c r="P41" i="3"/>
  <c r="O41" i="3"/>
  <c r="I41" i="3"/>
  <c r="P40" i="3"/>
  <c r="O40" i="3"/>
  <c r="P39" i="3"/>
  <c r="O39" i="3"/>
  <c r="P38" i="3"/>
  <c r="O38" i="3"/>
  <c r="P37" i="3"/>
  <c r="O37" i="3"/>
  <c r="P36" i="3"/>
  <c r="O36" i="3"/>
  <c r="P35" i="3"/>
  <c r="O35" i="3"/>
  <c r="P33" i="3"/>
  <c r="O33" i="3"/>
  <c r="P32" i="3"/>
  <c r="O32" i="3"/>
  <c r="P31" i="3"/>
  <c r="O31" i="3"/>
  <c r="P30" i="3"/>
  <c r="O30" i="3"/>
  <c r="I30" i="3"/>
  <c r="P29" i="3"/>
  <c r="O29" i="3"/>
  <c r="I29" i="3"/>
  <c r="P28" i="3"/>
  <c r="O28" i="3"/>
  <c r="I28" i="3"/>
  <c r="P27" i="3"/>
  <c r="O27" i="3"/>
  <c r="I27" i="3"/>
  <c r="P26" i="3"/>
  <c r="O26" i="3"/>
  <c r="I26" i="3"/>
  <c r="P25" i="3"/>
  <c r="O25" i="3"/>
  <c r="P24" i="3"/>
  <c r="O24" i="3"/>
  <c r="P23" i="3"/>
  <c r="O23" i="3"/>
  <c r="P21" i="3"/>
  <c r="O21" i="3"/>
  <c r="I21" i="3"/>
  <c r="P20" i="3"/>
  <c r="O20" i="3"/>
  <c r="I20" i="3"/>
  <c r="P19" i="3"/>
  <c r="O19" i="3"/>
  <c r="I19" i="3"/>
  <c r="P18" i="3"/>
  <c r="O18" i="3"/>
  <c r="P17" i="3"/>
  <c r="O17" i="3"/>
  <c r="P15" i="3"/>
  <c r="O15" i="3"/>
  <c r="P13" i="3"/>
  <c r="O13" i="3"/>
  <c r="P12" i="3"/>
  <c r="O12" i="3"/>
  <c r="I12" i="3"/>
  <c r="P11" i="3"/>
  <c r="O11" i="3"/>
  <c r="P10" i="3"/>
  <c r="O10" i="3"/>
  <c r="I9" i="3"/>
  <c r="P8" i="3"/>
  <c r="O8" i="3"/>
  <c r="I8" i="3"/>
  <c r="I7" i="3"/>
  <c r="P6" i="3"/>
  <c r="O6" i="3"/>
  <c r="I6" i="3"/>
  <c r="P5" i="3"/>
  <c r="O5" i="3"/>
  <c r="I5" i="3"/>
  <c r="P4" i="3"/>
  <c r="O4" i="3"/>
  <c r="P3" i="3"/>
  <c r="O3" i="3"/>
  <c r="I3" i="3"/>
  <c r="P2" i="3"/>
  <c r="O2" i="3"/>
  <c r="I2" i="3"/>
  <c r="J180" i="3"/>
  <c r="J175" i="3"/>
  <c r="J173" i="3"/>
  <c r="J172" i="3"/>
  <c r="J168" i="3"/>
  <c r="J167" i="3"/>
  <c r="J164" i="3"/>
  <c r="J162" i="3"/>
  <c r="J160" i="3"/>
  <c r="J158" i="3"/>
  <c r="J153" i="3"/>
  <c r="J150" i="3"/>
  <c r="J147" i="3"/>
  <c r="J144" i="3"/>
  <c r="J141" i="3"/>
  <c r="J137" i="3"/>
  <c r="J136" i="3"/>
  <c r="J131" i="3"/>
  <c r="J128" i="3"/>
  <c r="J127" i="3"/>
  <c r="J125" i="3"/>
  <c r="J121" i="3"/>
  <c r="J119" i="3"/>
  <c r="J117" i="3"/>
  <c r="J115" i="3"/>
  <c r="J113" i="3"/>
  <c r="J112" i="3"/>
  <c r="J111" i="3"/>
  <c r="J104" i="3"/>
  <c r="J103" i="3"/>
  <c r="J100" i="3"/>
  <c r="J97" i="3"/>
  <c r="J95" i="3"/>
  <c r="J94" i="3"/>
  <c r="J91" i="3"/>
  <c r="J86" i="3"/>
  <c r="J85" i="3"/>
  <c r="J82" i="3"/>
  <c r="J78" i="3"/>
  <c r="J77" i="3"/>
  <c r="J76" i="3"/>
  <c r="J72" i="3"/>
  <c r="J70" i="3"/>
  <c r="J59" i="3"/>
  <c r="J53" i="3"/>
  <c r="J51" i="3"/>
  <c r="J48" i="3"/>
  <c r="J47" i="3"/>
  <c r="J45" i="3"/>
  <c r="J42" i="3"/>
  <c r="J36" i="3"/>
  <c r="J33" i="3"/>
  <c r="J30" i="3"/>
  <c r="J26" i="3"/>
  <c r="J24" i="3"/>
  <c r="J21" i="3"/>
  <c r="J19" i="3"/>
  <c r="J13" i="3"/>
  <c r="J12" i="3"/>
  <c r="J4" i="3"/>
  <c r="J3" i="3"/>
  <c r="I178" i="3" l="1"/>
  <c r="I11" i="3"/>
  <c r="I15" i="3"/>
  <c r="I23" i="3"/>
  <c r="I31" i="3"/>
  <c r="I35" i="3"/>
  <c r="I39" i="3"/>
  <c r="I47" i="3"/>
  <c r="I51" i="3"/>
  <c r="I59" i="3"/>
  <c r="I67" i="3"/>
  <c r="I71" i="3"/>
  <c r="I75" i="3"/>
  <c r="I83" i="3"/>
  <c r="I95" i="3"/>
  <c r="I99" i="3"/>
  <c r="I111" i="3"/>
  <c r="I115" i="3"/>
  <c r="I119" i="3"/>
  <c r="I123" i="3"/>
  <c r="I131" i="3"/>
  <c r="I143" i="3"/>
  <c r="I147" i="3"/>
  <c r="I151" i="3"/>
  <c r="I155" i="3"/>
  <c r="I159" i="3"/>
  <c r="I167" i="3"/>
  <c r="I4" i="3"/>
  <c r="I179" i="3"/>
  <c r="I16" i="3"/>
  <c r="I24" i="3"/>
  <c r="I32" i="3"/>
  <c r="I36" i="3"/>
  <c r="I40" i="3"/>
  <c r="I52" i="3"/>
  <c r="I60" i="3"/>
  <c r="I68" i="3"/>
  <c r="I72" i="3"/>
  <c r="I76" i="3"/>
  <c r="I88" i="3"/>
  <c r="I96" i="3"/>
  <c r="I112" i="3"/>
  <c r="I120" i="3"/>
  <c r="I124" i="3"/>
  <c r="I132" i="3"/>
  <c r="I144" i="3"/>
  <c r="I148" i="3"/>
  <c r="I156" i="3"/>
  <c r="I160" i="3"/>
  <c r="I168" i="3"/>
  <c r="I180" i="3"/>
  <c r="I13" i="3"/>
  <c r="I17" i="3"/>
  <c r="I25" i="3"/>
  <c r="I33" i="3"/>
  <c r="I37" i="3"/>
  <c r="I49" i="3"/>
  <c r="I53" i="3"/>
  <c r="I61" i="3"/>
  <c r="I69" i="3"/>
  <c r="I73" i="3"/>
  <c r="I89" i="3"/>
  <c r="I97" i="3"/>
  <c r="I109" i="3"/>
  <c r="I113" i="3"/>
  <c r="I121" i="3"/>
  <c r="I133" i="3"/>
  <c r="I145" i="3"/>
  <c r="I149" i="3"/>
  <c r="I157" i="3"/>
  <c r="I169" i="3"/>
  <c r="I177" i="3"/>
  <c r="I10" i="3"/>
  <c r="I14" i="3"/>
  <c r="I18" i="3"/>
  <c r="I22" i="3"/>
  <c r="I34" i="3"/>
  <c r="I38" i="3"/>
  <c r="I46" i="3"/>
  <c r="I50" i="3"/>
  <c r="I54" i="3"/>
  <c r="I58" i="3"/>
  <c r="I70" i="3"/>
  <c r="I74" i="3"/>
  <c r="I82" i="3"/>
  <c r="I90" i="3"/>
  <c r="I94" i="3"/>
  <c r="I98" i="3"/>
  <c r="I106" i="3"/>
  <c r="I110" i="3"/>
  <c r="I114" i="3"/>
  <c r="I118" i="3"/>
  <c r="I122" i="3"/>
  <c r="I130" i="3"/>
  <c r="I142" i="3"/>
  <c r="I146" i="3"/>
  <c r="I150" i="3"/>
  <c r="I154" i="3"/>
  <c r="I158" i="3"/>
  <c r="I166" i="3"/>
  <c r="I170" i="3"/>
  <c r="R176" i="3"/>
  <c r="R7" i="3"/>
  <c r="R19" i="3"/>
  <c r="R31" i="3"/>
  <c r="R43" i="3"/>
  <c r="R55" i="3"/>
  <c r="R67" i="3"/>
  <c r="R79" i="3"/>
  <c r="R91" i="3"/>
  <c r="R103" i="3"/>
  <c r="R115" i="3"/>
  <c r="R127" i="3"/>
  <c r="R139" i="3"/>
  <c r="R151" i="3"/>
  <c r="R163" i="3"/>
  <c r="R12" i="3"/>
  <c r="R72" i="3"/>
  <c r="R132" i="3"/>
  <c r="R85" i="3"/>
  <c r="R50" i="3"/>
  <c r="R177" i="3"/>
  <c r="R8" i="3"/>
  <c r="R20" i="3"/>
  <c r="R32" i="3"/>
  <c r="R44" i="3"/>
  <c r="R56" i="3"/>
  <c r="R68" i="3"/>
  <c r="R80" i="3"/>
  <c r="R92" i="3"/>
  <c r="R104" i="3"/>
  <c r="R116" i="3"/>
  <c r="R128" i="3"/>
  <c r="R140" i="3"/>
  <c r="R152" i="3"/>
  <c r="R164" i="3"/>
  <c r="R60" i="3"/>
  <c r="R156" i="3"/>
  <c r="R37" i="3"/>
  <c r="R169" i="3"/>
  <c r="R134" i="3"/>
  <c r="R178" i="3"/>
  <c r="R9" i="3"/>
  <c r="R21" i="3"/>
  <c r="R33" i="3"/>
  <c r="R45" i="3"/>
  <c r="R57" i="3"/>
  <c r="R69" i="3"/>
  <c r="R81" i="3"/>
  <c r="R93" i="3"/>
  <c r="R105" i="3"/>
  <c r="R117" i="3"/>
  <c r="R129" i="3"/>
  <c r="R141" i="3"/>
  <c r="R153" i="3"/>
  <c r="R165" i="3"/>
  <c r="R36" i="3"/>
  <c r="R25" i="3"/>
  <c r="R121" i="3"/>
  <c r="R74" i="3"/>
  <c r="R179" i="3"/>
  <c r="R10" i="3"/>
  <c r="R22" i="3"/>
  <c r="R34" i="3"/>
  <c r="R46" i="3"/>
  <c r="R58" i="3"/>
  <c r="R70" i="3"/>
  <c r="R82" i="3"/>
  <c r="R94" i="3"/>
  <c r="R106" i="3"/>
  <c r="R118" i="3"/>
  <c r="R130" i="3"/>
  <c r="R142" i="3"/>
  <c r="R154" i="3"/>
  <c r="R166" i="3"/>
  <c r="R61" i="3"/>
  <c r="R133" i="3"/>
  <c r="R14" i="3"/>
  <c r="R180" i="3"/>
  <c r="R11" i="3"/>
  <c r="R23" i="3"/>
  <c r="R35" i="3"/>
  <c r="R47" i="3"/>
  <c r="R59" i="3"/>
  <c r="R71" i="3"/>
  <c r="R83" i="3"/>
  <c r="R95" i="3"/>
  <c r="R107" i="3"/>
  <c r="R119" i="3"/>
  <c r="R131" i="3"/>
  <c r="R143" i="3"/>
  <c r="R155" i="3"/>
  <c r="R167" i="3"/>
  <c r="R2" i="3"/>
  <c r="R108" i="3"/>
  <c r="R13" i="3"/>
  <c r="R145" i="3"/>
  <c r="R183" i="3"/>
  <c r="R86" i="3"/>
  <c r="R146" i="3"/>
  <c r="R172" i="3"/>
  <c r="R3" i="3"/>
  <c r="R15" i="3"/>
  <c r="R27" i="3"/>
  <c r="R39" i="3"/>
  <c r="R51" i="3"/>
  <c r="R63" i="3"/>
  <c r="R75" i="3"/>
  <c r="R87" i="3"/>
  <c r="R99" i="3"/>
  <c r="R111" i="3"/>
  <c r="R123" i="3"/>
  <c r="R135" i="3"/>
  <c r="R147" i="3"/>
  <c r="R159" i="3"/>
  <c r="R96" i="3"/>
  <c r="R109" i="3"/>
  <c r="R62" i="3"/>
  <c r="R170" i="3"/>
  <c r="R173" i="3"/>
  <c r="R4" i="3"/>
  <c r="R16" i="3"/>
  <c r="R28" i="3"/>
  <c r="R40" i="3"/>
  <c r="R52" i="3"/>
  <c r="R64" i="3"/>
  <c r="R76" i="3"/>
  <c r="R88" i="3"/>
  <c r="R100" i="3"/>
  <c r="R112" i="3"/>
  <c r="R124" i="3"/>
  <c r="R136" i="3"/>
  <c r="R148" i="3"/>
  <c r="R160" i="3"/>
  <c r="R48" i="3"/>
  <c r="R120" i="3"/>
  <c r="R49" i="3"/>
  <c r="R38" i="3"/>
  <c r="R122" i="3"/>
  <c r="R158" i="3"/>
  <c r="R174" i="3"/>
  <c r="R5" i="3"/>
  <c r="R17" i="3"/>
  <c r="R29" i="3"/>
  <c r="R41" i="3"/>
  <c r="R53" i="3"/>
  <c r="R65" i="3"/>
  <c r="R77" i="3"/>
  <c r="R89" i="3"/>
  <c r="R101" i="3"/>
  <c r="R113" i="3"/>
  <c r="R125" i="3"/>
  <c r="R137" i="3"/>
  <c r="R149" i="3"/>
  <c r="R161" i="3"/>
  <c r="R181" i="3"/>
  <c r="R168" i="3"/>
  <c r="R182" i="3"/>
  <c r="R97" i="3"/>
  <c r="R26" i="3"/>
  <c r="R110" i="3"/>
  <c r="R175" i="3"/>
  <c r="R6" i="3"/>
  <c r="R18" i="3"/>
  <c r="R30" i="3"/>
  <c r="R42" i="3"/>
  <c r="R54" i="3"/>
  <c r="R66" i="3"/>
  <c r="R78" i="3"/>
  <c r="R90" i="3"/>
  <c r="R102" i="3"/>
  <c r="R114" i="3"/>
  <c r="R126" i="3"/>
  <c r="R138" i="3"/>
  <c r="R150" i="3"/>
  <c r="R162" i="3"/>
  <c r="R24" i="3"/>
  <c r="R84" i="3"/>
  <c r="R144" i="3"/>
  <c r="R73" i="3"/>
  <c r="R157" i="3"/>
  <c r="R171" i="3"/>
  <c r="R98" i="3"/>
  <c r="P22" i="3"/>
  <c r="P51" i="3"/>
  <c r="P139" i="3"/>
  <c r="P134" i="3"/>
  <c r="P138" i="3"/>
  <c r="P68" i="3"/>
  <c r="P108" i="3"/>
  <c r="P142" i="3"/>
  <c r="P85" i="3"/>
  <c r="O51" i="3"/>
  <c r="O139" i="3"/>
  <c r="O138" i="3"/>
  <c r="O142" i="3"/>
  <c r="O68" i="3"/>
  <c r="O108" i="3"/>
  <c r="O134" i="3"/>
  <c r="O85" i="3"/>
  <c r="O22" i="3"/>
  <c r="P87" i="3"/>
  <c r="P107" i="3"/>
  <c r="P146" i="3"/>
  <c r="P7" i="3"/>
  <c r="P16" i="3"/>
  <c r="P132" i="3"/>
  <c r="P62" i="3"/>
  <c r="P14" i="3"/>
  <c r="P34" i="3"/>
  <c r="P54" i="3"/>
  <c r="P46" i="3"/>
  <c r="P9" i="3"/>
  <c r="P69" i="3"/>
  <c r="O46" i="3"/>
  <c r="O14" i="3"/>
  <c r="O34" i="3"/>
  <c r="O54" i="3"/>
  <c r="O62" i="3"/>
  <c r="O146" i="3"/>
  <c r="O7" i="3"/>
  <c r="O107" i="3"/>
  <c r="O16" i="3"/>
  <c r="O132" i="3"/>
  <c r="O9" i="3"/>
  <c r="O69" i="3"/>
  <c r="J184" i="3"/>
  <c r="J185" i="3"/>
  <c r="L19" i="3"/>
  <c r="L173" i="3"/>
  <c r="J133" i="3"/>
  <c r="J49" i="3"/>
  <c r="L185" i="3"/>
  <c r="L63" i="3"/>
  <c r="J132" i="3"/>
  <c r="J96" i="3"/>
  <c r="J84" i="3"/>
  <c r="J60" i="3"/>
  <c r="L184" i="3"/>
  <c r="L103" i="3"/>
  <c r="L127" i="3"/>
  <c r="J107" i="3"/>
  <c r="J23" i="3"/>
  <c r="L12" i="3"/>
  <c r="J166" i="3"/>
  <c r="J142" i="3"/>
  <c r="J130" i="3"/>
  <c r="J106" i="3"/>
  <c r="J34" i="3"/>
  <c r="J22" i="3"/>
  <c r="J105" i="3"/>
  <c r="J81" i="3"/>
  <c r="J57" i="3"/>
  <c r="L100" i="3"/>
  <c r="L104" i="3"/>
  <c r="L128" i="3"/>
  <c r="L164" i="3"/>
  <c r="J68" i="3"/>
  <c r="J20" i="3"/>
  <c r="L21" i="3"/>
  <c r="L175" i="3"/>
  <c r="J139" i="3"/>
  <c r="J55" i="3"/>
  <c r="J43" i="3"/>
  <c r="J126" i="3"/>
  <c r="J54" i="3"/>
  <c r="L3" i="3"/>
  <c r="L81" i="3"/>
  <c r="L125" i="3"/>
  <c r="L137" i="3"/>
  <c r="L141" i="3"/>
  <c r="L153" i="3"/>
  <c r="J89" i="3"/>
  <c r="J183" i="3"/>
  <c r="J171" i="3"/>
  <c r="J148" i="3"/>
  <c r="J88" i="3"/>
  <c r="J87" i="3"/>
  <c r="J63" i="3"/>
  <c r="L78" i="3"/>
  <c r="L86" i="3"/>
  <c r="L134" i="3"/>
  <c r="L162" i="3"/>
  <c r="J134" i="3"/>
  <c r="J110" i="3"/>
  <c r="J74" i="3"/>
  <c r="J14" i="3"/>
  <c r="L160" i="3"/>
  <c r="L33" i="3"/>
  <c r="L4" i="3"/>
  <c r="L131" i="3"/>
  <c r="L113" i="3"/>
  <c r="L24" i="3"/>
  <c r="L168" i="3"/>
  <c r="K74" i="3"/>
  <c r="L167" i="3"/>
  <c r="L130" i="3"/>
  <c r="L96" i="3"/>
  <c r="K23" i="3"/>
  <c r="L95" i="3"/>
  <c r="L147" i="3"/>
  <c r="L111" i="3"/>
  <c r="L72" i="3"/>
  <c r="L51" i="3"/>
  <c r="L36" i="3"/>
  <c r="L110" i="3"/>
  <c r="L94" i="3"/>
  <c r="L49" i="3"/>
  <c r="L144" i="3"/>
  <c r="L70" i="3"/>
  <c r="L34" i="3"/>
  <c r="J177" i="3"/>
  <c r="J151" i="3"/>
  <c r="J73" i="3"/>
  <c r="J157" i="3"/>
  <c r="J5" i="3"/>
  <c r="J25" i="3"/>
  <c r="J29" i="3"/>
  <c r="J40" i="3"/>
  <c r="J138" i="3"/>
  <c r="J140" i="3"/>
  <c r="J10" i="3"/>
  <c r="J18" i="3"/>
  <c r="J44" i="3"/>
  <c r="J83" i="3"/>
  <c r="J114" i="3"/>
  <c r="J118" i="3"/>
  <c r="J129" i="3"/>
  <c r="J163" i="3"/>
  <c r="J123" i="3"/>
  <c r="J31" i="3"/>
  <c r="J58" i="3"/>
  <c r="J93" i="3"/>
  <c r="J152" i="3"/>
  <c r="J159" i="3"/>
  <c r="J16" i="3"/>
  <c r="J50" i="3"/>
  <c r="J62" i="3"/>
  <c r="J120" i="3"/>
  <c r="J135" i="3"/>
  <c r="J176" i="3"/>
  <c r="J52" i="3"/>
  <c r="J90" i="3"/>
  <c r="J155" i="3"/>
  <c r="J64" i="3"/>
  <c r="J109" i="3"/>
  <c r="J124" i="3"/>
  <c r="J28" i="3"/>
  <c r="J122" i="3"/>
  <c r="J32" i="3"/>
  <c r="J56" i="3"/>
  <c r="J67" i="3"/>
  <c r="J108" i="3"/>
  <c r="J181" i="3"/>
  <c r="J7" i="3"/>
  <c r="J27" i="3"/>
  <c r="J41" i="3"/>
  <c r="J66" i="3"/>
  <c r="J165" i="3"/>
  <c r="J170" i="3"/>
  <c r="J11" i="3"/>
  <c r="J102" i="3"/>
  <c r="J145" i="3"/>
  <c r="J149" i="3"/>
  <c r="J17" i="3"/>
  <c r="J99" i="3"/>
  <c r="J161" i="3"/>
  <c r="J146" i="3"/>
  <c r="R184" i="3" l="1"/>
  <c r="R185" i="3"/>
  <c r="J37" i="3"/>
  <c r="J174" i="3"/>
  <c r="J38" i="3"/>
  <c r="J179" i="3"/>
  <c r="J65" i="3"/>
  <c r="J35" i="3"/>
  <c r="J15" i="3"/>
  <c r="J154" i="3"/>
  <c r="J178" i="3"/>
  <c r="J9" i="3"/>
  <c r="J156" i="3"/>
  <c r="J8" i="3"/>
  <c r="L152" i="3"/>
  <c r="L114" i="3"/>
  <c r="L83" i="3"/>
  <c r="L159" i="3"/>
  <c r="L138" i="3"/>
  <c r="J80" i="3"/>
  <c r="J98" i="3"/>
  <c r="J75" i="3"/>
  <c r="J79" i="3"/>
  <c r="J61" i="3"/>
  <c r="J46" i="3"/>
  <c r="J182" i="3"/>
  <c r="L177" i="3"/>
  <c r="L25" i="3"/>
  <c r="L31" i="3"/>
  <c r="L115" i="3"/>
  <c r="L89" i="3"/>
  <c r="L42" i="3"/>
  <c r="L77" i="3"/>
  <c r="L172" i="3"/>
  <c r="L136" i="3"/>
  <c r="L91" i="3"/>
  <c r="L59" i="3"/>
  <c r="L30" i="3"/>
  <c r="L13" i="3"/>
  <c r="L82" i="3"/>
  <c r="L47" i="3"/>
  <c r="L26" i="3"/>
  <c r="L45" i="3"/>
  <c r="K110" i="3"/>
  <c r="L121" i="3"/>
  <c r="L74" i="3"/>
  <c r="L150" i="3"/>
  <c r="K96" i="3"/>
  <c r="K162" i="3"/>
  <c r="L112" i="3"/>
  <c r="L180" i="3"/>
  <c r="L117" i="3"/>
  <c r="L119" i="3"/>
  <c r="L126" i="3"/>
  <c r="L97" i="3"/>
  <c r="L48" i="3"/>
  <c r="L76" i="3"/>
  <c r="L53" i="3"/>
  <c r="L84" i="3"/>
  <c r="L107" i="3"/>
  <c r="L85" i="3"/>
  <c r="L22" i="3"/>
  <c r="L132" i="3"/>
  <c r="L158" i="3"/>
  <c r="L54" i="3"/>
  <c r="L14" i="3"/>
  <c r="K63" i="3"/>
  <c r="K184" i="3"/>
  <c r="L55" i="3"/>
  <c r="L23" i="3"/>
  <c r="K81" i="3"/>
  <c r="K49" i="3"/>
  <c r="L87" i="3"/>
  <c r="L171" i="3"/>
  <c r="K171" i="3"/>
  <c r="L68" i="3"/>
  <c r="L105" i="3"/>
  <c r="L106" i="3"/>
  <c r="L148" i="3"/>
  <c r="K148" i="3"/>
  <c r="L43" i="3"/>
  <c r="L20" i="3"/>
  <c r="K20" i="3"/>
  <c r="K57" i="3"/>
  <c r="L57" i="3"/>
  <c r="L142" i="3"/>
  <c r="L139" i="3"/>
  <c r="L88" i="3"/>
  <c r="L166" i="3"/>
  <c r="L183" i="3"/>
  <c r="L133" i="3"/>
  <c r="L60" i="3"/>
  <c r="Q150" i="3" l="1"/>
  <c r="N150" i="3"/>
  <c r="Q59" i="3"/>
  <c r="N59" i="3"/>
  <c r="K14" i="3"/>
  <c r="Q13" i="3"/>
  <c r="N13" i="3"/>
  <c r="Q112" i="3"/>
  <c r="N112" i="3"/>
  <c r="Q121" i="3"/>
  <c r="N121" i="3"/>
  <c r="K107" i="3"/>
  <c r="Q45" i="3"/>
  <c r="N45" i="3"/>
  <c r="Q136" i="3"/>
  <c r="N136" i="3"/>
  <c r="Q91" i="3"/>
  <c r="N91" i="3"/>
  <c r="K54" i="3"/>
  <c r="N85" i="3"/>
  <c r="Q48" i="3"/>
  <c r="N48" i="3"/>
  <c r="Q180" i="3"/>
  <c r="N180" i="3"/>
  <c r="N54" i="3"/>
  <c r="Q23" i="3"/>
  <c r="N23" i="3"/>
  <c r="Q126" i="3"/>
  <c r="N126" i="3"/>
  <c r="N22" i="3"/>
  <c r="Q82" i="3"/>
  <c r="N82" i="3"/>
  <c r="Q77" i="3"/>
  <c r="N77" i="3"/>
  <c r="N107" i="3"/>
  <c r="Q172" i="3"/>
  <c r="N172" i="3"/>
  <c r="Q55" i="3"/>
  <c r="N55" i="3"/>
  <c r="Q26" i="3"/>
  <c r="N26" i="3"/>
  <c r="Q97" i="3"/>
  <c r="N97" i="3"/>
  <c r="Q76" i="3"/>
  <c r="N76" i="3"/>
  <c r="Q84" i="3"/>
  <c r="N84" i="3"/>
  <c r="Q117" i="3"/>
  <c r="N117" i="3"/>
  <c r="Q53" i="3"/>
  <c r="N53" i="3"/>
  <c r="Q30" i="3"/>
  <c r="N30" i="3"/>
  <c r="Q47" i="3"/>
  <c r="N47" i="3"/>
  <c r="Q42" i="3"/>
  <c r="N42" i="3"/>
  <c r="Q74" i="3"/>
  <c r="N74" i="3"/>
  <c r="N132" i="3"/>
  <c r="N14" i="3"/>
  <c r="Q119" i="3"/>
  <c r="N119" i="3"/>
  <c r="Q22" i="3"/>
  <c r="Q85" i="3"/>
  <c r="Q54" i="3"/>
  <c r="Q107" i="3"/>
  <c r="Q132" i="3"/>
  <c r="Q14" i="3"/>
  <c r="L37" i="3"/>
  <c r="L15" i="3"/>
  <c r="K179" i="3"/>
  <c r="K174" i="3"/>
  <c r="K38" i="3"/>
  <c r="K156" i="3"/>
  <c r="K65" i="3"/>
  <c r="L8" i="3"/>
  <c r="L154" i="3"/>
  <c r="J69" i="3"/>
  <c r="J92" i="3"/>
  <c r="J71" i="3"/>
  <c r="L71" i="3"/>
  <c r="J39" i="3"/>
  <c r="K39" i="3"/>
  <c r="J143" i="3"/>
  <c r="L143" i="3"/>
  <c r="J6" i="3"/>
  <c r="J2" i="3"/>
  <c r="J101" i="3"/>
  <c r="L101" i="3"/>
  <c r="J169" i="3"/>
  <c r="J116" i="3"/>
  <c r="L116" i="3"/>
  <c r="N87" i="3"/>
  <c r="L62" i="3"/>
  <c r="L109" i="3"/>
  <c r="L176" i="3"/>
  <c r="L122" i="3"/>
  <c r="L29" i="3"/>
  <c r="L44" i="3"/>
  <c r="L140" i="3"/>
  <c r="L145" i="3"/>
  <c r="K129" i="3"/>
  <c r="L129" i="3"/>
  <c r="L120" i="3"/>
  <c r="L11" i="3"/>
  <c r="L28" i="3"/>
  <c r="L118" i="3"/>
  <c r="L135" i="3"/>
  <c r="L64" i="3"/>
  <c r="L93" i="3"/>
  <c r="L124" i="3"/>
  <c r="K124" i="3"/>
  <c r="L102" i="3"/>
  <c r="L10" i="3"/>
  <c r="L50" i="3"/>
  <c r="L149" i="3"/>
  <c r="L5" i="3"/>
  <c r="L18" i="3"/>
  <c r="L163" i="3"/>
  <c r="L40" i="3"/>
  <c r="L58" i="3"/>
  <c r="K56" i="3"/>
  <c r="L56" i="3"/>
  <c r="L151" i="3"/>
  <c r="K151" i="3"/>
  <c r="L27" i="3"/>
  <c r="K27" i="3"/>
  <c r="L41" i="3"/>
  <c r="K41" i="3"/>
  <c r="L73" i="3"/>
  <c r="K73" i="3"/>
  <c r="K99" i="3"/>
  <c r="L99" i="3"/>
  <c r="K178" i="3"/>
  <c r="L178" i="3"/>
  <c r="K123" i="3"/>
  <c r="L123" i="3"/>
  <c r="L67" i="3"/>
  <c r="L32" i="3"/>
  <c r="K32" i="3"/>
  <c r="L155" i="3"/>
  <c r="K155" i="3"/>
  <c r="L17" i="3"/>
  <c r="K17" i="3"/>
  <c r="K80" i="3"/>
  <c r="L80" i="3"/>
  <c r="L75" i="3"/>
  <c r="K75" i="3"/>
  <c r="K61" i="3"/>
  <c r="L61" i="3"/>
  <c r="L146" i="3"/>
  <c r="L16" i="3"/>
  <c r="L7" i="3"/>
  <c r="L79" i="3"/>
  <c r="K79" i="3"/>
  <c r="L157" i="3"/>
  <c r="K157" i="3"/>
  <c r="L181" i="3"/>
  <c r="K181" i="3"/>
  <c r="K182" i="3"/>
  <c r="L182" i="3"/>
  <c r="L108" i="3"/>
  <c r="L66" i="3"/>
  <c r="K66" i="3"/>
  <c r="L165" i="3"/>
  <c r="K165" i="3"/>
  <c r="L170" i="3"/>
  <c r="K170" i="3"/>
  <c r="L90" i="3"/>
  <c r="K90" i="3"/>
  <c r="L9" i="3"/>
  <c r="L46" i="3"/>
  <c r="L52" i="3"/>
  <c r="K52" i="3"/>
  <c r="L161" i="3"/>
  <c r="K161" i="3"/>
  <c r="L98" i="3"/>
  <c r="K98" i="3"/>
  <c r="Q171" i="3" l="1"/>
  <c r="N171" i="3"/>
  <c r="Q110" i="3"/>
  <c r="N110" i="3"/>
  <c r="N34" i="3"/>
  <c r="Q72" i="3"/>
  <c r="N72" i="3"/>
  <c r="Q128" i="3"/>
  <c r="N128" i="3"/>
  <c r="Q167" i="3"/>
  <c r="N167" i="3"/>
  <c r="Q162" i="3"/>
  <c r="N162" i="3"/>
  <c r="Q24" i="3"/>
  <c r="N24" i="3"/>
  <c r="Q36" i="3"/>
  <c r="N36" i="3"/>
  <c r="Q104" i="3"/>
  <c r="N104" i="3"/>
  <c r="Q43" i="3"/>
  <c r="N43" i="3"/>
  <c r="Q12" i="3"/>
  <c r="N12" i="3"/>
  <c r="Q184" i="3"/>
  <c r="N184" i="3"/>
  <c r="Q33" i="3"/>
  <c r="N33" i="3"/>
  <c r="Q144" i="3"/>
  <c r="N144" i="3"/>
  <c r="Q173" i="3"/>
  <c r="N173" i="3"/>
  <c r="Q96" i="3"/>
  <c r="N96" i="3"/>
  <c r="Q89" i="3"/>
  <c r="N89" i="3"/>
  <c r="Q168" i="3"/>
  <c r="N168" i="3"/>
  <c r="Q125" i="3"/>
  <c r="N125" i="3"/>
  <c r="Q103" i="3"/>
  <c r="N103" i="3"/>
  <c r="Q95" i="3"/>
  <c r="N95" i="3"/>
  <c r="Q166" i="3"/>
  <c r="N166" i="3"/>
  <c r="Q147" i="3"/>
  <c r="N147" i="3"/>
  <c r="Q130" i="3"/>
  <c r="N130" i="3"/>
  <c r="Q3" i="3"/>
  <c r="N3" i="3"/>
  <c r="Q19" i="3"/>
  <c r="N19" i="3"/>
  <c r="Q105" i="3"/>
  <c r="N105" i="3"/>
  <c r="Q183" i="3"/>
  <c r="N183" i="3"/>
  <c r="Q100" i="3"/>
  <c r="N100" i="3"/>
  <c r="Q175" i="3"/>
  <c r="N175" i="3"/>
  <c r="N68" i="3"/>
  <c r="Q49" i="3"/>
  <c r="N49" i="3"/>
  <c r="Q158" i="3"/>
  <c r="N158" i="3"/>
  <c r="Q131" i="3"/>
  <c r="N131" i="3"/>
  <c r="Q78" i="3"/>
  <c r="N78" i="3"/>
  <c r="Q83" i="3"/>
  <c r="N83" i="3"/>
  <c r="Q115" i="3"/>
  <c r="N115" i="3"/>
  <c r="Q88" i="3"/>
  <c r="N88" i="3"/>
  <c r="Q63" i="3"/>
  <c r="N63" i="3"/>
  <c r="Q60" i="3"/>
  <c r="N60" i="3"/>
  <c r="Q148" i="3"/>
  <c r="N148" i="3"/>
  <c r="N139" i="3"/>
  <c r="Q94" i="3"/>
  <c r="N94" i="3"/>
  <c r="Q20" i="3"/>
  <c r="N20" i="3"/>
  <c r="Q114" i="3"/>
  <c r="N114" i="3"/>
  <c r="K139" i="3"/>
  <c r="Q160" i="3"/>
  <c r="N160" i="3"/>
  <c r="N134" i="3"/>
  <c r="Q81" i="3"/>
  <c r="N81" i="3"/>
  <c r="Q176" i="3"/>
  <c r="N176" i="3"/>
  <c r="N62" i="3"/>
  <c r="Q57" i="3"/>
  <c r="N57" i="3"/>
  <c r="Q185" i="3"/>
  <c r="N185" i="3"/>
  <c r="Q106" i="3"/>
  <c r="N106" i="3"/>
  <c r="Q21" i="3"/>
  <c r="N21" i="3"/>
  <c r="Q86" i="3"/>
  <c r="N86" i="3"/>
  <c r="Q137" i="3"/>
  <c r="N137" i="3"/>
  <c r="Q113" i="3"/>
  <c r="N113" i="3"/>
  <c r="Q133" i="3"/>
  <c r="N133" i="3"/>
  <c r="Q141" i="3"/>
  <c r="N141" i="3"/>
  <c r="Q4" i="3"/>
  <c r="N4" i="3"/>
  <c r="Q111" i="3"/>
  <c r="N111" i="3"/>
  <c r="Q153" i="3"/>
  <c r="N153" i="3"/>
  <c r="N142" i="3"/>
  <c r="Q70" i="3"/>
  <c r="N70" i="3"/>
  <c r="N51" i="3"/>
  <c r="Q127" i="3"/>
  <c r="N127" i="3"/>
  <c r="Q164" i="3"/>
  <c r="N164" i="3"/>
  <c r="K152" i="3"/>
  <c r="K177" i="3"/>
  <c r="Q68" i="3"/>
  <c r="Q134" i="3"/>
  <c r="Q139" i="3"/>
  <c r="Q142" i="3"/>
  <c r="Q51" i="3"/>
  <c r="Q87" i="3"/>
  <c r="Q62" i="3"/>
  <c r="Q34" i="3"/>
  <c r="L179" i="3"/>
  <c r="L156" i="3"/>
  <c r="L174" i="3"/>
  <c r="L38" i="3"/>
  <c r="L35" i="3"/>
  <c r="L69" i="3"/>
  <c r="L65" i="3"/>
  <c r="L92" i="3"/>
  <c r="N46" i="3"/>
  <c r="L6" i="3"/>
  <c r="K6" i="3"/>
  <c r="L169" i="3"/>
  <c r="K169" i="3"/>
  <c r="K116" i="3"/>
  <c r="L2" i="3"/>
  <c r="L39" i="3"/>
  <c r="S76" i="3" l="1"/>
  <c r="S91" i="3"/>
  <c r="S30" i="3"/>
  <c r="S117" i="3"/>
  <c r="S23" i="3"/>
  <c r="S13" i="3"/>
  <c r="S45" i="3"/>
  <c r="S136" i="3"/>
  <c r="S48" i="3"/>
  <c r="S150" i="3"/>
  <c r="S82" i="3"/>
  <c r="S59" i="3"/>
  <c r="S172" i="3"/>
  <c r="S97" i="3"/>
  <c r="S74" i="3"/>
  <c r="S84" i="3"/>
  <c r="S112" i="3"/>
  <c r="S180" i="3"/>
  <c r="S55" i="3"/>
  <c r="S47" i="3"/>
  <c r="S126" i="3"/>
  <c r="S42" i="3"/>
  <c r="S26" i="3"/>
  <c r="Q67" i="3"/>
  <c r="N67" i="3"/>
  <c r="Q140" i="3"/>
  <c r="N140" i="3"/>
  <c r="Q79" i="3"/>
  <c r="N79" i="3"/>
  <c r="Q93" i="3"/>
  <c r="N93" i="3"/>
  <c r="Q66" i="3"/>
  <c r="N66" i="3"/>
  <c r="Q99" i="3"/>
  <c r="N99" i="3"/>
  <c r="Q31" i="3"/>
  <c r="N31" i="3"/>
  <c r="K9" i="3"/>
  <c r="Q170" i="3"/>
  <c r="N170" i="3"/>
  <c r="Q120" i="3"/>
  <c r="N120" i="3"/>
  <c r="Q39" i="3"/>
  <c r="N39" i="3"/>
  <c r="K146" i="3"/>
  <c r="N138" i="3"/>
  <c r="K46" i="3"/>
  <c r="N108" i="3"/>
  <c r="Q32" i="3"/>
  <c r="N32" i="3"/>
  <c r="Q50" i="3"/>
  <c r="N50" i="3"/>
  <c r="Q41" i="3"/>
  <c r="N41" i="3"/>
  <c r="K16" i="3"/>
  <c r="K108" i="3"/>
  <c r="Q122" i="3"/>
  <c r="N122" i="3"/>
  <c r="N146" i="3"/>
  <c r="Q65" i="3"/>
  <c r="N65" i="3"/>
  <c r="N9" i="3"/>
  <c r="Q157" i="3"/>
  <c r="N157" i="3"/>
  <c r="Q28" i="3"/>
  <c r="N28" i="3"/>
  <c r="Q90" i="3"/>
  <c r="N90" i="3"/>
  <c r="N7" i="3"/>
  <c r="Q25" i="3"/>
  <c r="N25" i="3"/>
  <c r="Q118" i="3"/>
  <c r="N118" i="3"/>
  <c r="Q102" i="3"/>
  <c r="N102" i="3"/>
  <c r="Q155" i="3"/>
  <c r="N155" i="3"/>
  <c r="Q159" i="3"/>
  <c r="N159" i="3"/>
  <c r="Q109" i="3"/>
  <c r="N109" i="3"/>
  <c r="Q145" i="3"/>
  <c r="N145" i="3"/>
  <c r="Q177" i="3"/>
  <c r="N177" i="3"/>
  <c r="Q129" i="3"/>
  <c r="N129" i="3"/>
  <c r="N69" i="3"/>
  <c r="Q98" i="3"/>
  <c r="N98" i="3"/>
  <c r="Q151" i="3"/>
  <c r="N151" i="3"/>
  <c r="Q124" i="3"/>
  <c r="N124" i="3"/>
  <c r="Q10" i="3"/>
  <c r="N10" i="3"/>
  <c r="Q156" i="3"/>
  <c r="N156" i="3"/>
  <c r="Q27" i="3"/>
  <c r="N27" i="3"/>
  <c r="Q73" i="3"/>
  <c r="N73" i="3"/>
  <c r="Q181" i="3"/>
  <c r="N181" i="3"/>
  <c r="Q161" i="3"/>
  <c r="N161" i="3"/>
  <c r="Q182" i="3"/>
  <c r="N182" i="3"/>
  <c r="Q149" i="3"/>
  <c r="N149" i="3"/>
  <c r="Q40" i="3"/>
  <c r="N40" i="3"/>
  <c r="Q18" i="3"/>
  <c r="N18" i="3"/>
  <c r="K7" i="3"/>
  <c r="Q64" i="3"/>
  <c r="N64" i="3"/>
  <c r="Q178" i="3"/>
  <c r="N178" i="3"/>
  <c r="Q135" i="3"/>
  <c r="N135" i="3"/>
  <c r="Q17" i="3"/>
  <c r="N17" i="3"/>
  <c r="Q123" i="3"/>
  <c r="N123" i="3"/>
  <c r="Q44" i="3"/>
  <c r="N44" i="3"/>
  <c r="Q163" i="3"/>
  <c r="N163" i="3"/>
  <c r="Q75" i="3"/>
  <c r="N75" i="3"/>
  <c r="Q29" i="3"/>
  <c r="N29" i="3"/>
  <c r="Q58" i="3"/>
  <c r="N58" i="3"/>
  <c r="Q61" i="3"/>
  <c r="N61" i="3"/>
  <c r="Q5" i="3"/>
  <c r="N5" i="3"/>
  <c r="Q38" i="3"/>
  <c r="N38" i="3"/>
  <c r="N16" i="3"/>
  <c r="Q80" i="3"/>
  <c r="N80" i="3"/>
  <c r="Q152" i="3"/>
  <c r="N152" i="3"/>
  <c r="Q179" i="3"/>
  <c r="N179" i="3"/>
  <c r="Q56" i="3"/>
  <c r="N56" i="3"/>
  <c r="Q52" i="3"/>
  <c r="N52" i="3"/>
  <c r="Q165" i="3"/>
  <c r="N165" i="3"/>
  <c r="Q174" i="3"/>
  <c r="N174" i="3"/>
  <c r="Q11" i="3"/>
  <c r="N11" i="3"/>
  <c r="K69" i="3"/>
  <c r="K8" i="3"/>
  <c r="K35" i="3"/>
  <c r="K101" i="3"/>
  <c r="K143" i="3"/>
  <c r="K37" i="3"/>
  <c r="K154" i="3"/>
  <c r="K2" i="3"/>
  <c r="K71" i="3"/>
  <c r="K92" i="3"/>
  <c r="K15" i="3"/>
  <c r="Q108" i="3"/>
  <c r="Q138" i="3"/>
  <c r="Q146" i="3"/>
  <c r="Q9" i="3"/>
  <c r="Q7" i="3"/>
  <c r="Q69" i="3"/>
  <c r="Q16" i="3"/>
  <c r="Q46" i="3"/>
  <c r="S147" i="3" l="1"/>
  <c r="S168" i="3"/>
  <c r="S185" i="3"/>
  <c r="S113" i="3"/>
  <c r="S60" i="3"/>
  <c r="S22" i="3"/>
  <c r="S131" i="3"/>
  <c r="S160" i="3"/>
  <c r="S114" i="3"/>
  <c r="S110" i="3"/>
  <c r="S96" i="3"/>
  <c r="S128" i="3"/>
  <c r="S85" i="3"/>
  <c r="S43" i="3"/>
  <c r="S4" i="3"/>
  <c r="S33" i="3"/>
  <c r="S105" i="3"/>
  <c r="S158" i="3"/>
  <c r="S115" i="3"/>
  <c r="S53" i="3"/>
  <c r="S14" i="3"/>
  <c r="S95" i="3"/>
  <c r="S72" i="3"/>
  <c r="S100" i="3"/>
  <c r="S111" i="3"/>
  <c r="S183" i="3"/>
  <c r="S121" i="3"/>
  <c r="S83" i="3"/>
  <c r="S21" i="3"/>
  <c r="S166" i="3"/>
  <c r="S107" i="3"/>
  <c r="S77" i="3"/>
  <c r="S86" i="3"/>
  <c r="S103" i="3"/>
  <c r="S106" i="3"/>
  <c r="S88" i="3"/>
  <c r="S81" i="3"/>
  <c r="S104" i="3"/>
  <c r="S144" i="3"/>
  <c r="S137" i="3"/>
  <c r="S171" i="3"/>
  <c r="S3" i="3"/>
  <c r="S133" i="3"/>
  <c r="S162" i="3"/>
  <c r="S175" i="3"/>
  <c r="S24" i="3"/>
  <c r="S78" i="3"/>
  <c r="S167" i="3"/>
  <c r="S119" i="3"/>
  <c r="S94" i="3"/>
  <c r="S164" i="3"/>
  <c r="S57" i="3"/>
  <c r="S141" i="3"/>
  <c r="S153" i="3"/>
  <c r="S63" i="3"/>
  <c r="S70" i="3"/>
  <c r="S54" i="3"/>
  <c r="S36" i="3"/>
  <c r="S89" i="3"/>
  <c r="S19" i="3"/>
  <c r="S132" i="3"/>
  <c r="S125" i="3"/>
  <c r="S127" i="3"/>
  <c r="S173" i="3"/>
  <c r="S184" i="3"/>
  <c r="Q101" i="3"/>
  <c r="N101" i="3"/>
  <c r="Q169" i="3"/>
  <c r="N169" i="3"/>
  <c r="Q71" i="3"/>
  <c r="N71" i="3"/>
  <c r="Q35" i="3"/>
  <c r="N35" i="3"/>
  <c r="Q92" i="3"/>
  <c r="N92" i="3"/>
  <c r="Q116" i="3"/>
  <c r="N116" i="3"/>
  <c r="N6" i="3"/>
  <c r="N2" i="3"/>
  <c r="Q8" i="3"/>
  <c r="N8" i="3"/>
  <c r="Q143" i="3"/>
  <c r="N143" i="3"/>
  <c r="Q154" i="3"/>
  <c r="N154" i="3"/>
  <c r="Q15" i="3"/>
  <c r="N15" i="3"/>
  <c r="Q37" i="3"/>
  <c r="N37" i="3"/>
  <c r="Q6" i="3"/>
  <c r="S20" i="3" l="1"/>
  <c r="S67" i="3"/>
  <c r="S64" i="3"/>
  <c r="S139" i="3"/>
  <c r="S31" i="3"/>
  <c r="S145" i="3"/>
  <c r="S155" i="3"/>
  <c r="S170" i="3"/>
  <c r="S10" i="3"/>
  <c r="S27" i="3"/>
  <c r="S38" i="3"/>
  <c r="S29" i="3"/>
  <c r="S122" i="3"/>
  <c r="S148" i="3"/>
  <c r="S49" i="3"/>
  <c r="S28" i="3"/>
  <c r="S90" i="3"/>
  <c r="S93" i="3"/>
  <c r="S87" i="3"/>
  <c r="S75" i="3"/>
  <c r="S51" i="3"/>
  <c r="S44" i="3"/>
  <c r="S118" i="3"/>
  <c r="S161" i="3"/>
  <c r="S152" i="3"/>
  <c r="S41" i="3"/>
  <c r="S176" i="3"/>
  <c r="S157" i="3"/>
  <c r="S79" i="3"/>
  <c r="S156" i="3"/>
  <c r="S98" i="3"/>
  <c r="S32" i="3"/>
  <c r="S80" i="3"/>
  <c r="S134" i="3"/>
  <c r="S62" i="3"/>
  <c r="S165" i="3"/>
  <c r="S178" i="3"/>
  <c r="S18" i="3"/>
  <c r="S50" i="3"/>
  <c r="S124" i="3"/>
  <c r="S66" i="3"/>
  <c r="S58" i="3"/>
  <c r="S40" i="3"/>
  <c r="S12" i="3"/>
  <c r="S177" i="3"/>
  <c r="S140" i="3"/>
  <c r="S17" i="3"/>
  <c r="S129" i="3"/>
  <c r="S159" i="3"/>
  <c r="S135" i="3"/>
  <c r="S68" i="3"/>
  <c r="S56" i="3"/>
  <c r="S163" i="3"/>
  <c r="S99" i="3"/>
  <c r="S142" i="3"/>
  <c r="S65" i="3"/>
  <c r="S52" i="3"/>
  <c r="S109" i="3"/>
  <c r="S181" i="3"/>
  <c r="S25" i="3"/>
  <c r="S39" i="3"/>
  <c r="S73" i="3"/>
  <c r="S102" i="3"/>
  <c r="S123" i="3"/>
  <c r="S34" i="3"/>
  <c r="S130" i="3"/>
  <c r="S120" i="3"/>
  <c r="S11" i="3"/>
  <c r="S5" i="3"/>
  <c r="S151" i="3"/>
  <c r="S179" i="3"/>
  <c r="S182" i="3"/>
  <c r="Q2" i="3"/>
  <c r="S108" i="3" l="1"/>
  <c r="S146" i="3"/>
  <c r="S149" i="3"/>
  <c r="S61" i="3"/>
  <c r="S15" i="3"/>
  <c r="S35" i="3"/>
  <c r="S169" i="3"/>
  <c r="S8" i="3"/>
  <c r="S154" i="3"/>
  <c r="S138" i="3"/>
  <c r="S92" i="3"/>
  <c r="S16" i="3"/>
  <c r="S37" i="3"/>
  <c r="S9" i="3"/>
  <c r="S101" i="3"/>
  <c r="S69" i="3"/>
  <c r="S46" i="3"/>
  <c r="S7" i="3"/>
  <c r="S143" i="3"/>
  <c r="S116" i="3"/>
  <c r="S174" i="3"/>
  <c r="S2" i="3" l="1"/>
  <c r="S71" i="3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24" i="1"/>
  <c r="M24" i="1"/>
  <c r="L24" i="1"/>
  <c r="K24" i="1"/>
  <c r="J24" i="1"/>
  <c r="I24" i="1"/>
  <c r="H24" i="1"/>
  <c r="G24" i="1"/>
  <c r="F24" i="1"/>
  <c r="E24" i="1"/>
  <c r="D24" i="1"/>
  <c r="C24" i="1"/>
  <c r="N23" i="1"/>
  <c r="M23" i="1"/>
  <c r="L23" i="1"/>
  <c r="K23" i="1"/>
  <c r="J23" i="1"/>
  <c r="I23" i="1"/>
  <c r="H23" i="1"/>
  <c r="G23" i="1"/>
  <c r="F23" i="1"/>
  <c r="E23" i="1"/>
  <c r="D23" i="1"/>
  <c r="C23" i="1"/>
  <c r="N22" i="1"/>
  <c r="M22" i="1"/>
  <c r="L22" i="1"/>
  <c r="K22" i="1"/>
  <c r="J22" i="1"/>
  <c r="I22" i="1"/>
  <c r="H22" i="1"/>
  <c r="G22" i="1"/>
  <c r="F22" i="1"/>
  <c r="E22" i="1"/>
  <c r="D22" i="1"/>
  <c r="C22" i="1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H20" i="1"/>
  <c r="G20" i="1"/>
  <c r="F20" i="1"/>
  <c r="E20" i="1"/>
  <c r="D20" i="1"/>
  <c r="C20" i="1"/>
  <c r="N19" i="1"/>
  <c r="M19" i="1"/>
  <c r="L19" i="1"/>
  <c r="K19" i="1"/>
  <c r="J19" i="1"/>
  <c r="I19" i="1"/>
  <c r="H19" i="1"/>
  <c r="G19" i="1"/>
  <c r="F19" i="1"/>
  <c r="E19" i="1"/>
  <c r="D19" i="1"/>
  <c r="C19" i="1"/>
  <c r="N18" i="1"/>
  <c r="M18" i="1"/>
  <c r="L18" i="1"/>
  <c r="K18" i="1"/>
  <c r="J18" i="1"/>
  <c r="I18" i="1"/>
  <c r="H18" i="1"/>
  <c r="G18" i="1"/>
  <c r="F18" i="1"/>
  <c r="E18" i="1"/>
  <c r="D18" i="1"/>
  <c r="C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N16" i="1"/>
  <c r="M16" i="1"/>
  <c r="L16" i="1"/>
  <c r="K16" i="1"/>
  <c r="J16" i="1"/>
  <c r="I16" i="1"/>
  <c r="H16" i="1"/>
  <c r="G16" i="1"/>
  <c r="F16" i="1"/>
  <c r="E16" i="1"/>
  <c r="D16" i="1"/>
  <c r="C16" i="1"/>
  <c r="N15" i="1"/>
  <c r="M15" i="1"/>
  <c r="L15" i="1"/>
  <c r="K15" i="1"/>
  <c r="J15" i="1"/>
  <c r="I15" i="1"/>
  <c r="H15" i="1"/>
  <c r="G15" i="1"/>
  <c r="F15" i="1"/>
  <c r="E15" i="1"/>
  <c r="D15" i="1"/>
  <c r="C15" i="1"/>
  <c r="N14" i="1"/>
  <c r="M14" i="1"/>
  <c r="L14" i="1"/>
  <c r="K14" i="1"/>
  <c r="J14" i="1"/>
  <c r="I14" i="1"/>
  <c r="H14" i="1"/>
  <c r="G14" i="1"/>
  <c r="F14" i="1"/>
  <c r="E14" i="1"/>
  <c r="D14" i="1"/>
  <c r="C14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J8" i="1"/>
  <c r="H8" i="1"/>
  <c r="F8" i="1"/>
  <c r="D8" i="1"/>
  <c r="B8" i="1"/>
  <c r="G5" i="1"/>
  <c r="E5" i="1"/>
  <c r="C5" i="1"/>
  <c r="S6" i="3" l="1"/>
  <c r="C16" i="2" s="1"/>
  <c r="O16" i="2" s="1"/>
  <c r="O18" i="1"/>
  <c r="O19" i="1"/>
  <c r="O20" i="1"/>
  <c r="O21" i="1"/>
  <c r="O22" i="1"/>
  <c r="O23" i="1"/>
  <c r="O24" i="1"/>
  <c r="O5" i="2"/>
  <c r="O6" i="2"/>
  <c r="O7" i="2"/>
  <c r="O8" i="2"/>
  <c r="O9" i="2"/>
  <c r="O10" i="2"/>
  <c r="O11" i="2"/>
  <c r="O12" i="2"/>
  <c r="O13" i="2"/>
  <c r="O14" i="2"/>
  <c r="O15" i="2"/>
  <c r="O16" i="1"/>
  <c r="O15" i="1"/>
</calcChain>
</file>

<file path=xl/sharedStrings.xml><?xml version="1.0" encoding="utf-8"?>
<sst xmlns="http://schemas.openxmlformats.org/spreadsheetml/2006/main" count="2463" uniqueCount="346">
  <si>
    <t>KARAN ENTERPRISES</t>
  </si>
  <si>
    <t>HR Payroll Dashboard  •  Financial Year 2026–27  (Apr 2026 – Mar 2027)</t>
  </si>
  <si>
    <t>Select Employee:</t>
  </si>
  <si>
    <t>Ajit Singh</t>
  </si>
  <si>
    <t>Type:</t>
  </si>
  <si>
    <t>Designation:</t>
  </si>
  <si>
    <t>Site:</t>
  </si>
  <si>
    <t>Net Payable (YTD)</t>
  </si>
  <si>
    <t>Advance Paid (YTD)</t>
  </si>
  <si>
    <t>Leaves Allotted (YTD)</t>
  </si>
  <si>
    <t>Total Paid (YTD)</t>
  </si>
  <si>
    <t>Total Due (YTD)</t>
  </si>
  <si>
    <t>Metric  /  Month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</si>
  <si>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</si>
  <si>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</si>
  <si>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</si>
  <si>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</si>
  <si>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</si>
  <si>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</si>
  <si>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</si>
  <si>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</si>
  <si>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</si>
  <si>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</si>
  <si>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</si>
  <si>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</si>
  <si>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YTD Total</t>
  </si>
  <si>
    <t>Working Days</t>
  </si>
  <si>
    <t>Present Days</t>
  </si>
  <si>
    <t>Absent Days</t>
  </si>
  <si>
    <t>Leaves Allotted</t>
  </si>
  <si>
    <t>Leaves Availed</t>
  </si>
  <si>
    <t>Leave Balance (Closing)</t>
  </si>
  <si>
    <t>Salary (Gross)</t>
  </si>
  <si>
    <t>Salary Earned</t>
  </si>
  <si>
    <t>Advance Deducted</t>
  </si>
  <si>
    <t>Bonus / Inclusion</t>
  </si>
  <si>
    <t>Net Payable</t>
  </si>
  <si>
    <t>Paid</t>
  </si>
  <si>
    <t>Due</t>
  </si>
  <si>
    <t>Headcount (with data)</t>
  </si>
  <si>
    <t>Total Present Days</t>
  </si>
  <si>
    <t>Total Absent Days</t>
  </si>
  <si>
    <t>Total Leaves Allotted</t>
  </si>
  <si>
    <t>Total Leaves Availed</t>
  </si>
  <si>
    <t>Gross Salary</t>
  </si>
  <si>
    <t>Total Paid</t>
  </si>
  <si>
    <t>Total Due</t>
  </si>
  <si>
    <t>Month</t>
  </si>
  <si>
    <t>Employee</t>
  </si>
  <si>
    <t>Type</t>
  </si>
  <si>
    <t>Designation</t>
  </si>
  <si>
    <t>Site</t>
  </si>
  <si>
    <t>Opening Leave Bal</t>
  </si>
  <si>
    <t>Closing Leave Bal</t>
  </si>
  <si>
    <t>New</t>
  </si>
  <si>
    <t>supervisor</t>
  </si>
  <si>
    <t>Karo</t>
  </si>
  <si>
    <t>Ajit Yadav (Lalmani Yadav)</t>
  </si>
  <si>
    <t>H</t>
  </si>
  <si>
    <t>Tori</t>
  </si>
  <si>
    <t>Akash Kumar Turi</t>
  </si>
  <si>
    <t>Amar Lal Mahto</t>
  </si>
  <si>
    <t>T/D</t>
  </si>
  <si>
    <t>Anil Hansda</t>
  </si>
  <si>
    <t>Old</t>
  </si>
  <si>
    <t>Karo/Lalpania</t>
  </si>
  <si>
    <t>Aniruddha Paul</t>
  </si>
  <si>
    <t>ENGG.</t>
  </si>
  <si>
    <t>Anshu Karmali</t>
  </si>
  <si>
    <t>Polc. H</t>
  </si>
  <si>
    <t>Karo/ Tori</t>
  </si>
  <si>
    <t>Arijit Kundu</t>
  </si>
  <si>
    <t>Arpan Lakra</t>
  </si>
  <si>
    <t>Arun Soren</t>
  </si>
  <si>
    <t>Aryan Kumar</t>
  </si>
  <si>
    <t>Ashish Kr. Mahto</t>
  </si>
  <si>
    <t>Bablu Hembrom</t>
  </si>
  <si>
    <t>Karo/lalpania</t>
  </si>
  <si>
    <t>Babu Murmu</t>
  </si>
  <si>
    <t>MECHANIC</t>
  </si>
  <si>
    <t>Karo/Tori/Lal</t>
  </si>
  <si>
    <t>Babu Rajwar</t>
  </si>
  <si>
    <t>P.Foreman</t>
  </si>
  <si>
    <t>Baldeo Rajak</t>
  </si>
  <si>
    <t>Karo/tori</t>
  </si>
  <si>
    <t>Baldeo Yadav</t>
  </si>
  <si>
    <t>Banty Thakur</t>
  </si>
  <si>
    <t>Basu Sawarnkar</t>
  </si>
  <si>
    <t>COOK</t>
  </si>
  <si>
    <t>konar</t>
  </si>
  <si>
    <t>Bhavishay Tiwari</t>
  </si>
  <si>
    <t>Bhola Mahto (Td)</t>
  </si>
  <si>
    <t>lal</t>
  </si>
  <si>
    <t>Bhola Mahto (Polc.H)</t>
  </si>
  <si>
    <t>Bipin Kumar (Rajak)</t>
  </si>
  <si>
    <t>Local</t>
  </si>
  <si>
    <t>Birendra Kr. Prasad</t>
  </si>
  <si>
    <t>Lal</t>
  </si>
  <si>
    <t>Birendra Kumar</t>
  </si>
  <si>
    <t>Budhan Singh</t>
  </si>
  <si>
    <t>N/G</t>
  </si>
  <si>
    <t>Chandan Kr Mahto</t>
  </si>
  <si>
    <t>JCB.Help</t>
  </si>
  <si>
    <t>Choudhary Charan Mahto</t>
  </si>
  <si>
    <t>Das Nag</t>
  </si>
  <si>
    <t>Dharmendra Karmali</t>
  </si>
  <si>
    <t>Dharmendra Kr. Tiwari</t>
  </si>
  <si>
    <t>Dharmveer Kr.</t>
  </si>
  <si>
    <t>D.H</t>
  </si>
  <si>
    <t>Dilip Yadav</t>
  </si>
  <si>
    <t>Polc.Op</t>
  </si>
  <si>
    <t>Ganesh Singh</t>
  </si>
  <si>
    <t>Ghanshyam Ganjhu</t>
  </si>
  <si>
    <t>T/H</t>
  </si>
  <si>
    <t>Ghanshyam Mahto</t>
  </si>
  <si>
    <t>Ghanshyam Singh</t>
  </si>
  <si>
    <t>D/OP</t>
  </si>
  <si>
    <t>Gopal Mahto</t>
  </si>
  <si>
    <t>WELDER</t>
  </si>
  <si>
    <t>Karo/Tori</t>
  </si>
  <si>
    <t>Gopesh Kumar</t>
  </si>
  <si>
    <t>Govind Pandit</t>
  </si>
  <si>
    <t>T. FOREMAN</t>
  </si>
  <si>
    <t>Haraklal Mahto</t>
  </si>
  <si>
    <t>Hari Charan Mahto</t>
  </si>
  <si>
    <t>Herman Ekka</t>
  </si>
  <si>
    <t>Himanshu Kumar</t>
  </si>
  <si>
    <t>Inderdeo Yadav</t>
  </si>
  <si>
    <t>Karo/ tori</t>
  </si>
  <si>
    <t>Irshad Ali</t>
  </si>
  <si>
    <t>Store Incharge</t>
  </si>
  <si>
    <t>Jagdish Mandal</t>
  </si>
  <si>
    <t>BOLERO DR.</t>
  </si>
  <si>
    <t>Jageshwar Yadav (Jago)</t>
  </si>
  <si>
    <t>Karo/lal</t>
  </si>
  <si>
    <t>Japit Ganjhu</t>
  </si>
  <si>
    <t>Jitendra Karmali (Jeetu)</t>
  </si>
  <si>
    <t>Jitendra Mahto</t>
  </si>
  <si>
    <t>Jitendra Singh</t>
  </si>
  <si>
    <t>Kailash Karmali (Mamta Devi)</t>
  </si>
  <si>
    <t>OP</t>
  </si>
  <si>
    <t>Kamlesh Kumar</t>
  </si>
  <si>
    <t>Karan Karmali</t>
  </si>
  <si>
    <t>Kartik Mahto (Loha Singh)</t>
  </si>
  <si>
    <t>Karo/tori/lal</t>
  </si>
  <si>
    <t>Kartik Majee</t>
  </si>
  <si>
    <t>SURVEYOR</t>
  </si>
  <si>
    <t>Kartik Soren</t>
  </si>
  <si>
    <t>Kaushlendra Kr. Pathak (Bablu Pathak)</t>
  </si>
  <si>
    <t>Kesho Mahto</t>
  </si>
  <si>
    <t>Khudi Ram</t>
  </si>
  <si>
    <t>Kishore Mahto</t>
  </si>
  <si>
    <t>Krishna Munda</t>
  </si>
  <si>
    <t>Kuldeep Kr. Ray</t>
  </si>
  <si>
    <t>Scorpio Driver</t>
  </si>
  <si>
    <t>Lalchand Rajak</t>
  </si>
  <si>
    <t>Laldhari Mahto</t>
  </si>
  <si>
    <t>Lalmani Yadav (Ajit Yadav)</t>
  </si>
  <si>
    <t>Lalu Yadav</t>
  </si>
  <si>
    <t>Late Surendra Singh</t>
  </si>
  <si>
    <t>Mahadev Prajapati</t>
  </si>
  <si>
    <t>Mahesh Yadav</t>
  </si>
  <si>
    <t>Manju Devi</t>
  </si>
  <si>
    <t>Md Samiruddin Ansari</t>
  </si>
  <si>
    <t>konar/LAL</t>
  </si>
  <si>
    <t>Md. Tohid Ansari</t>
  </si>
  <si>
    <t>Poclain Mechanic</t>
  </si>
  <si>
    <t>Mohan Kr. Mahto</t>
  </si>
  <si>
    <t>Mukesh Kerketta</t>
  </si>
  <si>
    <t>Mukesh Verma</t>
  </si>
  <si>
    <t>Nand Kishor Singh</t>
  </si>
  <si>
    <t>Nandlal Boxi</t>
  </si>
  <si>
    <t>Mess Incharge</t>
  </si>
  <si>
    <t>Narayan Mahto (Ng)</t>
  </si>
  <si>
    <t>Narayan Yadav</t>
  </si>
  <si>
    <t>Naresh Kisku</t>
  </si>
  <si>
    <t>W/T-H</t>
  </si>
  <si>
    <t>Naresh Turi</t>
  </si>
  <si>
    <t>Naresh Yadav</t>
  </si>
  <si>
    <t>Nitin Kr. Hembrom</t>
  </si>
  <si>
    <t>Nitish Kumar (Mahto)</t>
  </si>
  <si>
    <t>Panchanand Mahto</t>
  </si>
  <si>
    <t>SR. SUP</t>
  </si>
  <si>
    <t>Pintu Napit</t>
  </si>
  <si>
    <t>Piyush Digar</t>
  </si>
  <si>
    <t>Prakash Choudhri</t>
  </si>
  <si>
    <t>Prakash Kr. Mahto</t>
  </si>
  <si>
    <t>CAMPER D.</t>
  </si>
  <si>
    <t>Prakash Mahto</t>
  </si>
  <si>
    <t>Prakash Rajak</t>
  </si>
  <si>
    <t>Prakash Tudu</t>
  </si>
  <si>
    <t>Pramill Marandi</t>
  </si>
  <si>
    <t>F.H</t>
  </si>
  <si>
    <t>Rahul Kr. Murmu</t>
  </si>
  <si>
    <t>Rajan Digar</t>
  </si>
  <si>
    <t>Rajesh Kr. Hari</t>
  </si>
  <si>
    <t>D/OP/H</t>
  </si>
  <si>
    <t>Rajesh Mahto</t>
  </si>
  <si>
    <t>Rajeshwar Rajak</t>
  </si>
  <si>
    <t>Rajkumar Das</t>
  </si>
  <si>
    <t>Rajkumar Soren</t>
  </si>
  <si>
    <t>Raju Prajapati</t>
  </si>
  <si>
    <t>Mechanic</t>
  </si>
  <si>
    <t>Rakesh Pramanik</t>
  </si>
  <si>
    <t>Tori/lal</t>
  </si>
  <si>
    <t>Ram Narayan Mahto</t>
  </si>
  <si>
    <t>Ramchandra Mahto Jcb</t>
  </si>
  <si>
    <t>Polc.JCB Operator</t>
  </si>
  <si>
    <t>Ramchandra Yadav</t>
  </si>
  <si>
    <t>Ramesh Yadav (Poonam Devi)</t>
  </si>
  <si>
    <t>tori</t>
  </si>
  <si>
    <t>Ramlal Murmu</t>
  </si>
  <si>
    <t>Rashulal Kr</t>
  </si>
  <si>
    <t>Rithik Kumar</t>
  </si>
  <si>
    <t>Rohan Ganjhu</t>
  </si>
  <si>
    <t>Ruplal Marandi</t>
  </si>
  <si>
    <t>Saba Ahmed</t>
  </si>
  <si>
    <t>Sandhya Devi</t>
  </si>
  <si>
    <t>Sanjay Kumar Turi</t>
  </si>
  <si>
    <t>Santosh Ganjhu</t>
  </si>
  <si>
    <t>Santosh Kr Mahto</t>
  </si>
  <si>
    <t>Satish Yadav</t>
  </si>
  <si>
    <t>Shankar Ganjhu</t>
  </si>
  <si>
    <t>Shyam Narayan Paul</t>
  </si>
  <si>
    <t>Somar Turi</t>
  </si>
  <si>
    <t>Sukhdev Mahto (Sup)</t>
  </si>
  <si>
    <t>Sukhdev Mahto (Ng)</t>
  </si>
  <si>
    <t>Suman Kr Sinha</t>
  </si>
  <si>
    <t>Sunil Kr. Rawani</t>
  </si>
  <si>
    <t>Suraj Kr. Marandi</t>
  </si>
  <si>
    <t>Suraj Kumar /Suraj Turi</t>
  </si>
  <si>
    <t>Surendra (Cook)</t>
  </si>
  <si>
    <t>Surendra Mehta</t>
  </si>
  <si>
    <t>Suresh Mahto</t>
  </si>
  <si>
    <t>Taleshwar Mahto</t>
  </si>
  <si>
    <t>Tarkeshwar Thakur</t>
  </si>
  <si>
    <t>Teju Karmali</t>
  </si>
  <si>
    <t>Tulsi Mahto</t>
  </si>
  <si>
    <t>Tulsi Singh</t>
  </si>
  <si>
    <t>Tuplal Mahto</t>
  </si>
  <si>
    <t>Tori/Lal</t>
  </si>
  <si>
    <t>Umacharan Karmali (Mithilesh)</t>
  </si>
  <si>
    <t>Karo/Lal</t>
  </si>
  <si>
    <t>Umesh Chore</t>
  </si>
  <si>
    <t>Uttam Kr. Bhandari</t>
  </si>
  <si>
    <t>Varun Thakur (Sharma)</t>
  </si>
  <si>
    <t>Vijay Prasad</t>
  </si>
  <si>
    <t>Vikash Kumar</t>
  </si>
  <si>
    <t>Vikash Soren</t>
  </si>
  <si>
    <t>Vikram Prasad</t>
  </si>
  <si>
    <t>ACNT</t>
  </si>
  <si>
    <t>Vivek Swami (Vicky)</t>
  </si>
  <si>
    <t>Yasin</t>
  </si>
  <si>
    <t>Konar</t>
  </si>
  <si>
    <t>Dinesh Kr. Munda</t>
  </si>
  <si>
    <t>JCB Helper</t>
  </si>
  <si>
    <t>Sharanjit Singh</t>
  </si>
  <si>
    <t>Basudev Yadav</t>
  </si>
  <si>
    <t>Sachin Kr. Mahto</t>
  </si>
  <si>
    <t>Bholenath Murmu</t>
  </si>
  <si>
    <t>Mahesh Giri</t>
  </si>
  <si>
    <t>Yogendra Mahto</t>
  </si>
  <si>
    <t>Binod Mahto</t>
  </si>
  <si>
    <t>Sulendra Munda</t>
  </si>
  <si>
    <t>Polc.H</t>
  </si>
  <si>
    <t>Arun Kumar</t>
  </si>
  <si>
    <t>Neeraj Vishkarma</t>
  </si>
  <si>
    <t>Bijay Soren</t>
  </si>
  <si>
    <t>T.Help</t>
  </si>
  <si>
    <t>Samir Choudhary</t>
  </si>
  <si>
    <t>Civil Engineer</t>
  </si>
  <si>
    <t>Mantu Ganjhu</t>
  </si>
  <si>
    <t>Dwaraka Mahto</t>
  </si>
  <si>
    <t>T.Driver</t>
  </si>
  <si>
    <t>Vicky Yadav</t>
  </si>
  <si>
    <t>Fluori Help</t>
  </si>
  <si>
    <t>Nandan Ganjhu</t>
  </si>
  <si>
    <t>JCB Help</t>
  </si>
  <si>
    <t>Satish Mahto</t>
  </si>
  <si>
    <t>Janardhan Mahto</t>
  </si>
  <si>
    <t>Bhagirath Mahto</t>
  </si>
  <si>
    <t>Niraj Kumar Singh</t>
  </si>
  <si>
    <t>Roshan Rawani</t>
  </si>
  <si>
    <t>Lalji Thakur</t>
  </si>
  <si>
    <t>Ramesh Kumar</t>
  </si>
  <si>
    <t>Shivam Rajak</t>
  </si>
  <si>
    <t>Sudhir Kisku</t>
  </si>
  <si>
    <t>Sokindra Kumar</t>
  </si>
  <si>
    <t>Aman Karmali</t>
  </si>
  <si>
    <t>Hel.</t>
  </si>
  <si>
    <t>Karan Kumar Ganjhu</t>
  </si>
  <si>
    <t>Sidhart Kumar</t>
  </si>
  <si>
    <t>Anup Vishwakarma</t>
  </si>
  <si>
    <t>Sohan Kumar Marandi</t>
  </si>
  <si>
    <t>Mukund Mahto</t>
  </si>
  <si>
    <t>Mritunjay Dey</t>
  </si>
  <si>
    <t>Rabin</t>
  </si>
  <si>
    <t>Rajkapur Thakur</t>
  </si>
  <si>
    <t>Karo/LAL</t>
  </si>
  <si>
    <t>Santos Kumar Das</t>
  </si>
  <si>
    <t>New/Local</t>
  </si>
  <si>
    <t>Supervisor</t>
  </si>
  <si>
    <t>Helper</t>
  </si>
  <si>
    <t>Truck Driver</t>
  </si>
  <si>
    <t>Engineer</t>
  </si>
  <si>
    <t>Polc. Helper</t>
  </si>
  <si>
    <t>Cook</t>
  </si>
  <si>
    <t>Night Guard</t>
  </si>
  <si>
    <t>JCB.Helper</t>
  </si>
  <si>
    <t>Driver/ Helper</t>
  </si>
  <si>
    <t>Polc.Operator</t>
  </si>
  <si>
    <t>T/Helper</t>
  </si>
  <si>
    <t>Dozzer Operator</t>
  </si>
  <si>
    <t>Welder</t>
  </si>
  <si>
    <t>T. Foreman</t>
  </si>
  <si>
    <t>Bolero Driver</t>
  </si>
  <si>
    <t>Operator</t>
  </si>
  <si>
    <t>Surveyor</t>
  </si>
  <si>
    <t>Lal/Tori</t>
  </si>
  <si>
    <t>konar/LAL/Tori</t>
  </si>
  <si>
    <t>W/T-Helper</t>
  </si>
  <si>
    <t>D.Helper</t>
  </si>
  <si>
    <t>Camper Driver</t>
  </si>
  <si>
    <t>F.Helper</t>
  </si>
  <si>
    <t>Dozzer Operator/Helper</t>
  </si>
  <si>
    <t>Store IncHelperarge</t>
  </si>
  <si>
    <t>Accountant</t>
  </si>
  <si>
    <t>Karo/Lal/Konar</t>
  </si>
  <si>
    <t>Polc.Helper</t>
  </si>
  <si>
    <t>T.Helper</t>
  </si>
  <si>
    <t>Fluori Helper</t>
  </si>
  <si>
    <t>Karo/LAL/Tori</t>
  </si>
  <si>
    <t>Bishnu Kr. Singh</t>
  </si>
  <si>
    <t>Nirmal Mahto</t>
  </si>
  <si>
    <t>Months</t>
  </si>
  <si>
    <t xml:space="preserve">All employees  | Financial Year 2026–27 </t>
  </si>
  <si>
    <t xml:space="preserve">KARAN ENTERPRISES </t>
  </si>
  <si>
    <t xml:space="preserve">Mohan Kr. Mahto </t>
  </si>
  <si>
    <t xml:space="preserve">Nandlal Boxi </t>
  </si>
  <si>
    <t xml:space="preserve">Saba Ahmed </t>
  </si>
  <si>
    <t xml:space="preserve">Jagdish Mandal </t>
  </si>
  <si>
    <t xml:space="preserve">Md. Tohid Ansari </t>
  </si>
  <si>
    <t>Due to be paid</t>
  </si>
  <si>
    <t>YTD</t>
  </si>
  <si>
    <r>
      <t>beginning of the current year up to the present date</t>
    </r>
    <r>
      <rPr>
        <sz val="11"/>
        <color theme="1"/>
        <rFont val="Calibri"/>
        <family val="2"/>
        <charset val="1"/>
      </rPr>
      <t>.</t>
    </r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</si>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</sst>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;\-0.0;\-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b/>
      <sz val="12"/>
      <color rgb="FF1F3864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4"/>
      <color rgb="FF548235"/>
      <name val="Arial"/>
      <charset val="1"/>
    </font>
    <font>
      <b/>
      <sz val="14"/>
      <color rgb="FFC55A11"/>
      <name val="Arial"/>
      <charset val="1"/>
    </font>
    <font>
      <b/>
      <sz val="14"/>
      <color rgb="FF2E549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name val="Arial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83847B"/>
      </patternFill>
    </fill>
    <fill>
      <patternFill patternType="solid">
        <fgColor rgb="FFC55A11"/>
        <bgColor rgb="FFC0504D"/>
      </patternFill>
    </fill>
    <fill>
      <patternFill patternType="solid">
        <fgColor rgb="FFF2F2F2"/>
        <bgColor rgb="FFF9F9F9"/>
      </patternFill>
    </fill>
    <fill>
      <patternFill patternType="solid">
        <fgColor rgb="FFD6E0F0"/>
        <bgColor rgb="FFD9D9D9"/>
      </patternFill>
    </fill>
    <fill>
      <patternFill patternType="solid">
        <fgColor rgb="FFC7C20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65" fontId="12" fillId="0" borderId="2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/>
    </xf>
    <xf numFmtId="165" fontId="13" fillId="4" borderId="2" xfId="0" applyNumberFormat="1" applyFont="1" applyFill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13" fillId="4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164" fontId="14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right"/>
    </xf>
    <xf numFmtId="0" fontId="17" fillId="9" borderId="0" xfId="0" applyFont="1" applyFill="1"/>
    <xf numFmtId="0" fontId="18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BD4E4B"/>
      <rgbColor rgb="FFE1C0C0"/>
      <rgbColor rgb="FFD09493"/>
      <rgbColor rgb="FFEAD4D3"/>
      <rgbColor rgb="FFC0504D"/>
      <rgbColor rgb="FFE3C5C5"/>
      <rgbColor rgb="FF843634"/>
      <rgbColor rgb="FFC56A68"/>
      <rgbColor rgb="FFCA7E7D"/>
      <rgbColor rgb="FF548235"/>
      <rgbColor rgb="FFA24341"/>
      <rgbColor rgb="FFB34A48"/>
      <rgbColor rgb="FFBFBFBF"/>
      <rgbColor rgb="FF83847B"/>
      <rgbColor rgb="FFD49D9C"/>
      <rgbColor rgb="FF9B403E"/>
      <rgbColor rgb="FFFFF2CC"/>
      <rgbColor rgb="FFF2F2F2"/>
      <rgbColor rgb="FFAB4744"/>
      <rgbColor rgb="FFCC8785"/>
      <rgbColor rgb="FFC25E5C"/>
      <rgbColor rgb="FFD6E0F0"/>
      <rgbColor rgb="FFCF8F8E"/>
      <rgbColor rgb="FFBA4D4A"/>
      <rgbColor rgb="FFE8CFCF"/>
      <rgbColor rgb="FFE6CACA"/>
      <rgbColor rgb="FFA64542"/>
      <rgbColor rgb="FFA94644"/>
      <rgbColor rgb="FFB64C49"/>
      <rgbColor rgb="FFD19695"/>
      <rgbColor rgb="FFDFBBBA"/>
      <rgbColor rgb="FFF9F9F9"/>
      <rgbColor rgb="FFD9D9D9"/>
      <rgbColor rgb="FFECD8D8"/>
      <rgbColor rgb="FF93BAD3"/>
      <rgbColor rgb="FFD6A4A3"/>
      <rgbColor rgb="FFD8AAA9"/>
      <rgbColor rgb="FFF8B590"/>
      <rgbColor rgb="FFC77573"/>
      <rgbColor rgb="FFDDB5B5"/>
      <rgbColor rgb="FFB8CD97"/>
      <rgbColor rgb="FFDBB0AF"/>
      <rgbColor rgb="FFDC853E"/>
      <rgbColor rgb="FFC55A11"/>
      <rgbColor rgb="FF9F423F"/>
      <rgbColor rgb="FFA99BBD"/>
      <rgbColor rgb="FF1F3864"/>
      <rgbColor rgb="FF4486AC"/>
      <rgbColor rgb="FFB04946"/>
      <rgbColor rgb="FFAD4845"/>
      <rgbColor rgb="FF8D3A38"/>
      <rgbColor rgb="FF953E3B"/>
      <rgbColor rgb="FF2E5496"/>
      <rgbColor rgb="FF7A32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7C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l%20Documents_Karan%20Enterprises\Attendance%20Sheet\April%202026\Final%20Attendance\April%20Attendance%20Sites.xlsx" TargetMode="External"/><Relationship Id="rId1" Type="http://schemas.openxmlformats.org/officeDocument/2006/relationships/externalLinkPath" Target="file:///D:\All%20Documents_Karan%20Enterprises\Attendance%20Sheet\April%202026\Final%20Attendance\April%20Attendance%20Si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_attendance"/>
      <sheetName val="Wages Sheet"/>
      <sheetName val="Paid Vs Due"/>
      <sheetName val="Bank Details"/>
      <sheetName val="K.E. Salary+PF+ESIC "/>
      <sheetName val="UPB. Salary+PF+ESIC"/>
      <sheetName val="Attendance from site Karo"/>
      <sheetName val="Lalpania"/>
    </sheetNames>
    <sheetDataSet>
      <sheetData sheetId="0"/>
      <sheetData sheetId="1">
        <row r="8">
          <cell r="B8" t="str">
            <v>Ajit Singh</v>
          </cell>
          <cell r="C8" t="str">
            <v>NEW</v>
          </cell>
          <cell r="D8" t="str">
            <v>supervisor</v>
          </cell>
          <cell r="E8" t="str">
            <v>Karo</v>
          </cell>
          <cell r="F8">
            <v>0</v>
          </cell>
          <cell r="G8">
            <v>30</v>
          </cell>
          <cell r="H8">
            <v>27</v>
          </cell>
          <cell r="I8">
            <v>3</v>
          </cell>
          <cell r="J8">
            <v>-2.5</v>
          </cell>
          <cell r="K8">
            <v>4</v>
          </cell>
          <cell r="M8">
            <v>4</v>
          </cell>
          <cell r="N8">
            <v>31</v>
          </cell>
          <cell r="O8">
            <v>3</v>
          </cell>
          <cell r="P8">
            <v>30</v>
          </cell>
          <cell r="Q8">
            <v>1</v>
          </cell>
          <cell r="R8">
            <v>-2.5</v>
          </cell>
          <cell r="S8">
            <v>8000</v>
          </cell>
          <cell r="T8">
            <v>9000</v>
          </cell>
          <cell r="U8">
            <v>9000</v>
          </cell>
          <cell r="V8">
            <v>0</v>
          </cell>
          <cell r="W8">
            <v>0</v>
          </cell>
          <cell r="Y8">
            <v>2999.032258064517</v>
          </cell>
          <cell r="Z8">
            <v>2999.032258064517</v>
          </cell>
          <cell r="AA8">
            <v>11999.032258064517</v>
          </cell>
          <cell r="AC8">
            <v>11999.032258064517</v>
          </cell>
          <cell r="AD8">
            <v>12000</v>
          </cell>
          <cell r="AE8" t="str">
            <v>from Karo 08.05.2026, from karo on 17.05.2026</v>
          </cell>
          <cell r="AF8">
            <v>-0.96774193548299081</v>
          </cell>
        </row>
        <row r="9">
          <cell r="B9" t="str">
            <v>AJIT YADAV (LALMANI YADAV)</v>
          </cell>
          <cell r="C9" t="str">
            <v>new</v>
          </cell>
          <cell r="D9" t="str">
            <v>H</v>
          </cell>
          <cell r="E9" t="str">
            <v>Tori</v>
          </cell>
          <cell r="F9">
            <v>0</v>
          </cell>
          <cell r="G9">
            <v>30</v>
          </cell>
          <cell r="H9">
            <v>15</v>
          </cell>
          <cell r="I9">
            <v>15</v>
          </cell>
          <cell r="J9">
            <v>2</v>
          </cell>
          <cell r="K9">
            <v>1</v>
          </cell>
          <cell r="L9">
            <v>7</v>
          </cell>
          <cell r="M9">
            <v>10</v>
          </cell>
          <cell r="N9">
            <v>25</v>
          </cell>
          <cell r="P9">
            <v>25</v>
          </cell>
          <cell r="Q9">
            <v>0</v>
          </cell>
          <cell r="R9">
            <v>-7</v>
          </cell>
          <cell r="S9">
            <v>8500</v>
          </cell>
          <cell r="T9">
            <v>9500</v>
          </cell>
          <cell r="U9">
            <v>7916.666666666667</v>
          </cell>
          <cell r="V9">
            <v>0</v>
          </cell>
          <cell r="W9">
            <v>0</v>
          </cell>
          <cell r="Y9">
            <v>9500</v>
          </cell>
          <cell r="Z9">
            <v>9500</v>
          </cell>
          <cell r="AA9">
            <v>17416.666666666668</v>
          </cell>
          <cell r="AC9">
            <v>17416.666666666668</v>
          </cell>
          <cell r="AD9">
            <v>17500</v>
          </cell>
          <cell r="AE9" t="str">
            <v>from K.E. Paytm on 23.05.2026</v>
          </cell>
          <cell r="AF9">
            <v>-83.333333333332121</v>
          </cell>
        </row>
        <row r="10">
          <cell r="B10" t="str">
            <v>AKASH KUMAR TURI</v>
          </cell>
          <cell r="C10" t="str">
            <v>new</v>
          </cell>
          <cell r="D10" t="str">
            <v>H</v>
          </cell>
          <cell r="E10">
            <v>0</v>
          </cell>
          <cell r="F10">
            <v>0</v>
          </cell>
          <cell r="G10">
            <v>30</v>
          </cell>
          <cell r="H10">
            <v>0</v>
          </cell>
          <cell r="I10">
            <v>30</v>
          </cell>
          <cell r="J10">
            <v>0</v>
          </cell>
          <cell r="K10">
            <v>0</v>
          </cell>
          <cell r="M10">
            <v>0</v>
          </cell>
          <cell r="N10">
            <v>0</v>
          </cell>
          <cell r="P10">
            <v>0</v>
          </cell>
          <cell r="Q10">
            <v>0</v>
          </cell>
          <cell r="R10">
            <v>0</v>
          </cell>
          <cell r="S10">
            <v>8500</v>
          </cell>
          <cell r="T10">
            <v>9500</v>
          </cell>
          <cell r="U10">
            <v>0</v>
          </cell>
          <cell r="V10">
            <v>0</v>
          </cell>
          <cell r="W10">
            <v>0</v>
          </cell>
          <cell r="Y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B11" t="str">
            <v>AMAR LAL MAHTO</v>
          </cell>
          <cell r="C11" t="str">
            <v>new</v>
          </cell>
          <cell r="D11" t="str">
            <v>T/D</v>
          </cell>
          <cell r="E11">
            <v>0</v>
          </cell>
          <cell r="F11">
            <v>0</v>
          </cell>
          <cell r="G11">
            <v>30</v>
          </cell>
          <cell r="H11">
            <v>0</v>
          </cell>
          <cell r="I11">
            <v>30</v>
          </cell>
          <cell r="J11">
            <v>0</v>
          </cell>
          <cell r="K11">
            <v>0</v>
          </cell>
          <cell r="M11">
            <v>0</v>
          </cell>
          <cell r="N11">
            <v>0</v>
          </cell>
          <cell r="P11">
            <v>0</v>
          </cell>
          <cell r="Q11">
            <v>0</v>
          </cell>
          <cell r="R11">
            <v>0</v>
          </cell>
          <cell r="S11">
            <v>14500</v>
          </cell>
          <cell r="T11">
            <v>16000</v>
          </cell>
          <cell r="U11">
            <v>0</v>
          </cell>
          <cell r="V11">
            <v>0</v>
          </cell>
          <cell r="W11">
            <v>0</v>
          </cell>
          <cell r="Y11">
            <v>0</v>
          </cell>
          <cell r="Z11">
            <v>0</v>
          </cell>
          <cell r="AA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B12" t="str">
            <v>Anil Hansda</v>
          </cell>
          <cell r="C12" t="str">
            <v>old</v>
          </cell>
          <cell r="D12" t="str">
            <v>T/D</v>
          </cell>
          <cell r="E12" t="str">
            <v>Karo/Lalpania</v>
          </cell>
          <cell r="F12">
            <v>0</v>
          </cell>
          <cell r="G12">
            <v>30</v>
          </cell>
          <cell r="H12">
            <v>19</v>
          </cell>
          <cell r="I12">
            <v>11</v>
          </cell>
          <cell r="J12">
            <v>-3</v>
          </cell>
          <cell r="K12">
            <v>2</v>
          </cell>
          <cell r="M12">
            <v>2</v>
          </cell>
          <cell r="N12">
            <v>21</v>
          </cell>
          <cell r="O12">
            <v>2</v>
          </cell>
          <cell r="P12">
            <v>21</v>
          </cell>
          <cell r="Q12">
            <v>0</v>
          </cell>
          <cell r="R12">
            <v>-3</v>
          </cell>
          <cell r="S12">
            <v>14500</v>
          </cell>
          <cell r="T12">
            <v>16000</v>
          </cell>
          <cell r="U12">
            <v>11200</v>
          </cell>
          <cell r="V12">
            <v>5096.9569892473082</v>
          </cell>
          <cell r="W12">
            <v>5096.9569892473082</v>
          </cell>
          <cell r="Y12">
            <v>0</v>
          </cell>
          <cell r="Z12">
            <v>0</v>
          </cell>
          <cell r="AA12">
            <v>6103.0430107526918</v>
          </cell>
          <cell r="AC12">
            <v>6103.0430107526918</v>
          </cell>
          <cell r="AD12">
            <v>6103</v>
          </cell>
          <cell r="AE12" t="str">
            <v>from karo on 20.05.2026</v>
          </cell>
          <cell r="AF12">
            <v>4.3010752691770904E-2</v>
          </cell>
        </row>
        <row r="13">
          <cell r="B13" t="str">
            <v>Aniruddha Paul</v>
          </cell>
          <cell r="C13" t="str">
            <v>new</v>
          </cell>
          <cell r="D13" t="str">
            <v>ENGG.</v>
          </cell>
          <cell r="E13" t="str">
            <v>Karo</v>
          </cell>
          <cell r="F13">
            <v>0</v>
          </cell>
          <cell r="G13">
            <v>30</v>
          </cell>
          <cell r="H13">
            <v>28</v>
          </cell>
          <cell r="I13">
            <v>2</v>
          </cell>
          <cell r="J13">
            <v>-7</v>
          </cell>
          <cell r="K13">
            <v>4</v>
          </cell>
          <cell r="M13">
            <v>4</v>
          </cell>
          <cell r="N13">
            <v>32</v>
          </cell>
          <cell r="O13">
            <v>2</v>
          </cell>
          <cell r="P13">
            <v>30</v>
          </cell>
          <cell r="Q13">
            <v>2</v>
          </cell>
          <cell r="R13">
            <v>-7</v>
          </cell>
          <cell r="S13">
            <v>15000</v>
          </cell>
          <cell r="T13">
            <v>17000</v>
          </cell>
          <cell r="U13">
            <v>17000</v>
          </cell>
          <cell r="V13">
            <v>0</v>
          </cell>
          <cell r="W13">
            <v>0</v>
          </cell>
          <cell r="Y13">
            <v>0</v>
          </cell>
          <cell r="Z13">
            <v>0</v>
          </cell>
          <cell r="AA13">
            <v>17000</v>
          </cell>
          <cell r="AC13">
            <v>17000</v>
          </cell>
          <cell r="AD13">
            <v>17000</v>
          </cell>
          <cell r="AE13">
            <v>0</v>
          </cell>
          <cell r="AF13">
            <v>0</v>
          </cell>
        </row>
        <row r="14">
          <cell r="B14" t="str">
            <v>Anshu Karmali</v>
          </cell>
          <cell r="C14" t="str">
            <v>new</v>
          </cell>
          <cell r="D14" t="str">
            <v>Polc. H</v>
          </cell>
          <cell r="E14" t="str">
            <v>Karo/ Tori</v>
          </cell>
          <cell r="F14">
            <v>0</v>
          </cell>
          <cell r="G14">
            <v>30</v>
          </cell>
          <cell r="H14">
            <v>30</v>
          </cell>
          <cell r="I14">
            <v>0</v>
          </cell>
          <cell r="J14">
            <v>5</v>
          </cell>
          <cell r="K14">
            <v>4</v>
          </cell>
          <cell r="M14">
            <v>9</v>
          </cell>
          <cell r="N14">
            <v>39</v>
          </cell>
          <cell r="O14">
            <v>0</v>
          </cell>
          <cell r="P14">
            <v>30</v>
          </cell>
          <cell r="Q14">
            <v>9</v>
          </cell>
          <cell r="R14">
            <v>0</v>
          </cell>
          <cell r="S14">
            <v>8500</v>
          </cell>
          <cell r="T14">
            <v>9500</v>
          </cell>
          <cell r="U14">
            <v>9500</v>
          </cell>
          <cell r="V14">
            <v>0</v>
          </cell>
          <cell r="W14">
            <v>0</v>
          </cell>
          <cell r="Y14">
            <v>9000.3333333333321</v>
          </cell>
          <cell r="Z14">
            <v>9000.3333333333321</v>
          </cell>
          <cell r="AA14">
            <v>18500.333333333332</v>
          </cell>
          <cell r="AC14">
            <v>18500.333333333332</v>
          </cell>
          <cell r="AD14">
            <v>18500</v>
          </cell>
          <cell r="AE14" t="str">
            <v>from K.E on 08.05.2026, from K.E. Paytm on 23.05.2026</v>
          </cell>
          <cell r="AF14">
            <v>0.33333333333212067</v>
          </cell>
        </row>
        <row r="15">
          <cell r="B15" t="str">
            <v>Arijit Kundu</v>
          </cell>
          <cell r="C15" t="str">
            <v>new</v>
          </cell>
          <cell r="D15" t="str">
            <v>ENGG.</v>
          </cell>
          <cell r="E15" t="str">
            <v>Karo</v>
          </cell>
          <cell r="F15">
            <v>0</v>
          </cell>
          <cell r="G15">
            <v>30</v>
          </cell>
          <cell r="H15">
            <v>24</v>
          </cell>
          <cell r="I15">
            <v>6</v>
          </cell>
          <cell r="J15">
            <v>-13</v>
          </cell>
          <cell r="K15">
            <v>3</v>
          </cell>
          <cell r="L15">
            <v>3</v>
          </cell>
          <cell r="M15">
            <v>6</v>
          </cell>
          <cell r="N15">
            <v>30</v>
          </cell>
          <cell r="O15">
            <v>6</v>
          </cell>
          <cell r="P15">
            <v>30</v>
          </cell>
          <cell r="Q15">
            <v>0</v>
          </cell>
          <cell r="R15">
            <v>-16</v>
          </cell>
          <cell r="S15">
            <v>16000</v>
          </cell>
          <cell r="T15">
            <v>18000</v>
          </cell>
          <cell r="U15">
            <v>18000</v>
          </cell>
          <cell r="V15">
            <v>0</v>
          </cell>
          <cell r="W15">
            <v>0</v>
          </cell>
          <cell r="Y15">
            <v>0</v>
          </cell>
          <cell r="Z15">
            <v>0</v>
          </cell>
          <cell r="AA15">
            <v>18000</v>
          </cell>
          <cell r="AC15">
            <v>18000</v>
          </cell>
          <cell r="AD15">
            <v>18000</v>
          </cell>
          <cell r="AE15" t="str">
            <v>From K.E on 12.05.2026</v>
          </cell>
          <cell r="AF15">
            <v>0</v>
          </cell>
        </row>
        <row r="16">
          <cell r="B16" t="str">
            <v>ARPAN LAKRA</v>
          </cell>
          <cell r="C16" t="str">
            <v>new</v>
          </cell>
          <cell r="D16" t="str">
            <v>H</v>
          </cell>
          <cell r="E16">
            <v>0</v>
          </cell>
          <cell r="F16">
            <v>0</v>
          </cell>
          <cell r="G16">
            <v>30</v>
          </cell>
          <cell r="H16">
            <v>0</v>
          </cell>
          <cell r="I16">
            <v>30</v>
          </cell>
          <cell r="J16">
            <v>0</v>
          </cell>
          <cell r="K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S16">
            <v>8500</v>
          </cell>
          <cell r="T16">
            <v>8500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 t="str">
            <v>ARUN SOREN</v>
          </cell>
          <cell r="C17" t="str">
            <v>new</v>
          </cell>
          <cell r="D17" t="str">
            <v>H</v>
          </cell>
          <cell r="E17">
            <v>0</v>
          </cell>
          <cell r="F17">
            <v>0</v>
          </cell>
          <cell r="G17">
            <v>30</v>
          </cell>
          <cell r="H17">
            <v>0</v>
          </cell>
          <cell r="I17">
            <v>30</v>
          </cell>
          <cell r="J17">
            <v>0</v>
          </cell>
          <cell r="K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  <cell r="R17">
            <v>0</v>
          </cell>
          <cell r="S17">
            <v>8500</v>
          </cell>
          <cell r="T17">
            <v>9500</v>
          </cell>
          <cell r="U17">
            <v>0</v>
          </cell>
          <cell r="V17">
            <v>0</v>
          </cell>
          <cell r="W17">
            <v>0</v>
          </cell>
          <cell r="Y17">
            <v>7528.8172043010754</v>
          </cell>
          <cell r="Z17">
            <v>7528.8172043010754</v>
          </cell>
          <cell r="AA17">
            <v>7528.8172043010754</v>
          </cell>
          <cell r="AC17">
            <v>7528.8172043010754</v>
          </cell>
          <cell r="AD17">
            <v>0</v>
          </cell>
          <cell r="AE17">
            <v>0</v>
          </cell>
          <cell r="AF17">
            <v>7528.8172043010754</v>
          </cell>
        </row>
        <row r="18">
          <cell r="B18" t="str">
            <v>ARYAN KUMAR</v>
          </cell>
          <cell r="C18" t="str">
            <v>new</v>
          </cell>
          <cell r="D18" t="str">
            <v>supervisor</v>
          </cell>
          <cell r="E18">
            <v>0</v>
          </cell>
          <cell r="F18">
            <v>0</v>
          </cell>
          <cell r="G18">
            <v>30</v>
          </cell>
          <cell r="H18">
            <v>0</v>
          </cell>
          <cell r="I18">
            <v>30</v>
          </cell>
          <cell r="J18">
            <v>0</v>
          </cell>
          <cell r="K18">
            <v>0</v>
          </cell>
          <cell r="M18">
            <v>0</v>
          </cell>
          <cell r="N18">
            <v>0</v>
          </cell>
          <cell r="P18">
            <v>0</v>
          </cell>
          <cell r="Q18">
            <v>0</v>
          </cell>
          <cell r="R18">
            <v>0</v>
          </cell>
          <cell r="S18">
            <v>9000</v>
          </cell>
          <cell r="T18">
            <v>10000</v>
          </cell>
          <cell r="U18">
            <v>0</v>
          </cell>
          <cell r="V18">
            <v>0</v>
          </cell>
          <cell r="W18">
            <v>0</v>
          </cell>
          <cell r="Y18">
            <v>0</v>
          </cell>
          <cell r="Z18">
            <v>0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 t="str">
            <v>ASHISH KR. MAHTO</v>
          </cell>
          <cell r="C19" t="str">
            <v>new</v>
          </cell>
          <cell r="D19" t="str">
            <v>H</v>
          </cell>
          <cell r="E19">
            <v>0</v>
          </cell>
          <cell r="F19">
            <v>0</v>
          </cell>
          <cell r="G19">
            <v>30</v>
          </cell>
          <cell r="H19">
            <v>0</v>
          </cell>
          <cell r="I19">
            <v>30</v>
          </cell>
          <cell r="J19">
            <v>0</v>
          </cell>
          <cell r="K19">
            <v>0</v>
          </cell>
          <cell r="M19">
            <v>0</v>
          </cell>
          <cell r="N19">
            <v>0</v>
          </cell>
          <cell r="P19">
            <v>0</v>
          </cell>
          <cell r="Q19">
            <v>0</v>
          </cell>
          <cell r="R19">
            <v>0</v>
          </cell>
          <cell r="S19">
            <v>8500</v>
          </cell>
          <cell r="T19">
            <v>9500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Z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 t="str">
            <v>Bablu Hembrom</v>
          </cell>
          <cell r="C20" t="str">
            <v>new</v>
          </cell>
          <cell r="D20" t="str">
            <v>T/D</v>
          </cell>
          <cell r="E20" t="str">
            <v>Karo/lalpania</v>
          </cell>
          <cell r="F20">
            <v>0</v>
          </cell>
          <cell r="G20">
            <v>30</v>
          </cell>
          <cell r="H20">
            <v>22</v>
          </cell>
          <cell r="I20">
            <v>8</v>
          </cell>
          <cell r="J20">
            <v>-3</v>
          </cell>
          <cell r="K20">
            <v>3</v>
          </cell>
          <cell r="L20">
            <v>5</v>
          </cell>
          <cell r="M20">
            <v>8</v>
          </cell>
          <cell r="N20">
            <v>30</v>
          </cell>
          <cell r="O20">
            <v>8</v>
          </cell>
          <cell r="P20">
            <v>30</v>
          </cell>
          <cell r="Q20">
            <v>0</v>
          </cell>
          <cell r="R20">
            <v>-8</v>
          </cell>
          <cell r="S20">
            <v>14500</v>
          </cell>
          <cell r="T20">
            <v>16000</v>
          </cell>
          <cell r="U20">
            <v>16000.000000000002</v>
          </cell>
          <cell r="V20">
            <v>1109.8172043010763</v>
          </cell>
          <cell r="W20">
            <v>1109.8172043010763</v>
          </cell>
          <cell r="Y20">
            <v>0</v>
          </cell>
          <cell r="Z20">
            <v>0</v>
          </cell>
          <cell r="AA20">
            <v>14890.182795698925</v>
          </cell>
          <cell r="AC20">
            <v>14890.182795698925</v>
          </cell>
          <cell r="AD20">
            <v>14890</v>
          </cell>
          <cell r="AE20" t="str">
            <v>From K.E on 12.05.2026</v>
          </cell>
          <cell r="AF20">
            <v>0.18279569892547443</v>
          </cell>
        </row>
        <row r="21">
          <cell r="B21" t="str">
            <v>Babu Murmu</v>
          </cell>
          <cell r="C21" t="str">
            <v>old</v>
          </cell>
          <cell r="D21" t="str">
            <v>MECHANIC</v>
          </cell>
          <cell r="E21" t="str">
            <v>Karo/Tori/Lal</v>
          </cell>
          <cell r="F21">
            <v>0</v>
          </cell>
          <cell r="G21">
            <v>30</v>
          </cell>
          <cell r="H21">
            <v>29</v>
          </cell>
          <cell r="I21">
            <v>1</v>
          </cell>
          <cell r="J21">
            <v>-4</v>
          </cell>
          <cell r="K21">
            <v>4</v>
          </cell>
          <cell r="M21">
            <v>4</v>
          </cell>
          <cell r="N21">
            <v>33</v>
          </cell>
          <cell r="O21">
            <v>1</v>
          </cell>
          <cell r="P21">
            <v>30</v>
          </cell>
          <cell r="Q21">
            <v>3</v>
          </cell>
          <cell r="R21">
            <v>-4</v>
          </cell>
          <cell r="S21">
            <v>15000</v>
          </cell>
          <cell r="T21">
            <v>17000</v>
          </cell>
          <cell r="U21">
            <v>17000</v>
          </cell>
          <cell r="V21">
            <v>0</v>
          </cell>
          <cell r="W21">
            <v>0</v>
          </cell>
          <cell r="Y21">
            <v>5806.4516129032272</v>
          </cell>
          <cell r="Z21">
            <v>5806.4516129032272</v>
          </cell>
          <cell r="AA21">
            <v>22806.451612903227</v>
          </cell>
          <cell r="AC21">
            <v>22806.451612903227</v>
          </cell>
          <cell r="AD21">
            <v>23306</v>
          </cell>
          <cell r="AE21" t="str">
            <v>Paid from Tori on 16.05.2026, paid from karo on 17.05.2026</v>
          </cell>
          <cell r="AF21">
            <v>-499.54838709677279</v>
          </cell>
        </row>
        <row r="22">
          <cell r="B22" t="str">
            <v>Babu Rajwar</v>
          </cell>
          <cell r="C22" t="str">
            <v>old</v>
          </cell>
          <cell r="D22" t="str">
            <v>P.Foreman</v>
          </cell>
          <cell r="E22" t="str">
            <v>Karo</v>
          </cell>
          <cell r="F22">
            <v>0</v>
          </cell>
          <cell r="G22">
            <v>30</v>
          </cell>
          <cell r="H22">
            <v>29</v>
          </cell>
          <cell r="I22">
            <v>1</v>
          </cell>
          <cell r="J22">
            <v>8</v>
          </cell>
          <cell r="K22">
            <v>4</v>
          </cell>
          <cell r="M22">
            <v>12</v>
          </cell>
          <cell r="N22">
            <v>41</v>
          </cell>
          <cell r="O22">
            <v>1</v>
          </cell>
          <cell r="P22">
            <v>30</v>
          </cell>
          <cell r="Q22">
            <v>11</v>
          </cell>
          <cell r="R22">
            <v>0</v>
          </cell>
          <cell r="S22">
            <v>19000</v>
          </cell>
          <cell r="T22">
            <v>21000</v>
          </cell>
          <cell r="U22">
            <v>21000</v>
          </cell>
          <cell r="V22">
            <v>0</v>
          </cell>
          <cell r="W22">
            <v>0</v>
          </cell>
          <cell r="Y22">
            <v>0</v>
          </cell>
          <cell r="Z22">
            <v>0</v>
          </cell>
          <cell r="AA22">
            <v>21000</v>
          </cell>
          <cell r="AC22">
            <v>21000</v>
          </cell>
          <cell r="AD22">
            <v>21000</v>
          </cell>
          <cell r="AE22" t="str">
            <v>From K.E on 12.05.2026</v>
          </cell>
          <cell r="AF22">
            <v>0</v>
          </cell>
        </row>
        <row r="23">
          <cell r="B23" t="str">
            <v>Baldeo Rajak</v>
          </cell>
          <cell r="C23" t="str">
            <v>old</v>
          </cell>
          <cell r="D23" t="str">
            <v>T/D</v>
          </cell>
          <cell r="E23" t="str">
            <v>Karo/tori</v>
          </cell>
          <cell r="F23">
            <v>0</v>
          </cell>
          <cell r="G23">
            <v>30</v>
          </cell>
          <cell r="H23">
            <v>28</v>
          </cell>
          <cell r="I23">
            <v>2</v>
          </cell>
          <cell r="J23">
            <v>3</v>
          </cell>
          <cell r="K23">
            <v>4</v>
          </cell>
          <cell r="M23">
            <v>7</v>
          </cell>
          <cell r="N23">
            <v>35</v>
          </cell>
          <cell r="O23">
            <v>2</v>
          </cell>
          <cell r="P23">
            <v>30</v>
          </cell>
          <cell r="Q23">
            <v>5</v>
          </cell>
          <cell r="R23">
            <v>0</v>
          </cell>
          <cell r="S23">
            <v>14500</v>
          </cell>
          <cell r="T23">
            <v>16000</v>
          </cell>
          <cell r="U23">
            <v>16000.000000000002</v>
          </cell>
          <cell r="V23">
            <v>0</v>
          </cell>
          <cell r="W23">
            <v>0</v>
          </cell>
          <cell r="Y23">
            <v>16000</v>
          </cell>
          <cell r="Z23">
            <v>16000</v>
          </cell>
          <cell r="AA23">
            <v>32000</v>
          </cell>
          <cell r="AC23">
            <v>32000</v>
          </cell>
          <cell r="AD23">
            <v>32000</v>
          </cell>
          <cell r="AE23" t="str">
            <v>from karo on 20.05.2026</v>
          </cell>
          <cell r="AF23">
            <v>0</v>
          </cell>
        </row>
        <row r="24">
          <cell r="B24" t="str">
            <v>BALDEO YADAV</v>
          </cell>
          <cell r="C24" t="str">
            <v>new</v>
          </cell>
          <cell r="D24" t="str">
            <v>supervisor</v>
          </cell>
          <cell r="E24">
            <v>0</v>
          </cell>
          <cell r="F24">
            <v>0</v>
          </cell>
          <cell r="G24">
            <v>30</v>
          </cell>
          <cell r="H24">
            <v>0</v>
          </cell>
          <cell r="I24">
            <v>30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</v>
          </cell>
          <cell r="T24">
            <v>9000</v>
          </cell>
          <cell r="U24">
            <v>0</v>
          </cell>
          <cell r="V24">
            <v>0</v>
          </cell>
          <cell r="W24">
            <v>0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B25" t="str">
            <v>BANTY THAKUR</v>
          </cell>
          <cell r="C25" t="str">
            <v>NEW</v>
          </cell>
          <cell r="D25" t="str">
            <v>H</v>
          </cell>
          <cell r="E25">
            <v>0</v>
          </cell>
          <cell r="F25">
            <v>0</v>
          </cell>
          <cell r="G25">
            <v>30</v>
          </cell>
          <cell r="H25">
            <v>0</v>
          </cell>
          <cell r="I25">
            <v>30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P25">
            <v>0</v>
          </cell>
          <cell r="Q25">
            <v>0</v>
          </cell>
          <cell r="R25">
            <v>0</v>
          </cell>
          <cell r="S25">
            <v>8500</v>
          </cell>
          <cell r="T25">
            <v>9500</v>
          </cell>
          <cell r="U25">
            <v>0</v>
          </cell>
          <cell r="V25">
            <v>0</v>
          </cell>
          <cell r="W25">
            <v>0</v>
          </cell>
          <cell r="Y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 t="str">
            <v>BASU SAWARNKAR</v>
          </cell>
          <cell r="C26" t="str">
            <v>new</v>
          </cell>
          <cell r="D26" t="str">
            <v>COOK</v>
          </cell>
          <cell r="E26" t="str">
            <v>konar</v>
          </cell>
          <cell r="F26">
            <v>0</v>
          </cell>
          <cell r="G26">
            <v>30</v>
          </cell>
          <cell r="H26">
            <v>30</v>
          </cell>
          <cell r="I26">
            <v>0</v>
          </cell>
          <cell r="J26">
            <v>9</v>
          </cell>
          <cell r="K26">
            <v>4</v>
          </cell>
          <cell r="M26">
            <v>13</v>
          </cell>
          <cell r="N26">
            <v>43</v>
          </cell>
          <cell r="O26">
            <v>0</v>
          </cell>
          <cell r="P26">
            <v>30</v>
          </cell>
          <cell r="Q26">
            <v>13</v>
          </cell>
          <cell r="R26">
            <v>0</v>
          </cell>
          <cell r="S26">
            <v>10000</v>
          </cell>
          <cell r="T26">
            <v>11000</v>
          </cell>
          <cell r="U26">
            <v>11000</v>
          </cell>
          <cell r="V26">
            <v>0</v>
          </cell>
          <cell r="W26">
            <v>0</v>
          </cell>
          <cell r="Y26">
            <v>5988.709677419356</v>
          </cell>
          <cell r="Z26">
            <v>5988.709677419356</v>
          </cell>
          <cell r="AA26">
            <v>16988.709677419356</v>
          </cell>
          <cell r="AC26">
            <v>16988.709677419356</v>
          </cell>
          <cell r="AD26">
            <v>17000</v>
          </cell>
          <cell r="AE26" t="str">
            <v>from karo on 17.05.2026</v>
          </cell>
          <cell r="AF26">
            <v>-11.290322580643988</v>
          </cell>
        </row>
        <row r="27">
          <cell r="B27" t="str">
            <v>Bhavishay Tiwari</v>
          </cell>
          <cell r="C27" t="str">
            <v>new</v>
          </cell>
          <cell r="D27" t="str">
            <v>T/D</v>
          </cell>
          <cell r="E27">
            <v>0</v>
          </cell>
          <cell r="F27">
            <v>0</v>
          </cell>
          <cell r="G27">
            <v>30</v>
          </cell>
          <cell r="H27">
            <v>0</v>
          </cell>
          <cell r="I27">
            <v>30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S27">
            <v>14500</v>
          </cell>
          <cell r="T27">
            <v>15500</v>
          </cell>
          <cell r="U27">
            <v>0</v>
          </cell>
          <cell r="V27">
            <v>0</v>
          </cell>
          <cell r="W27">
            <v>0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B28" t="str">
            <v>BHOLA MAHTO (TD)</v>
          </cell>
          <cell r="C28" t="str">
            <v>old</v>
          </cell>
          <cell r="D28" t="str">
            <v>T/D</v>
          </cell>
          <cell r="E28" t="str">
            <v>lal</v>
          </cell>
          <cell r="F28">
            <v>0</v>
          </cell>
          <cell r="G28">
            <v>30</v>
          </cell>
          <cell r="H28">
            <v>30</v>
          </cell>
          <cell r="I28">
            <v>0</v>
          </cell>
          <cell r="J28">
            <v>1</v>
          </cell>
          <cell r="K28">
            <v>4</v>
          </cell>
          <cell r="M28">
            <v>5</v>
          </cell>
          <cell r="N28">
            <v>35</v>
          </cell>
          <cell r="P28">
            <v>30</v>
          </cell>
          <cell r="Q28">
            <v>5</v>
          </cell>
          <cell r="R28">
            <v>0</v>
          </cell>
          <cell r="S28">
            <v>14500</v>
          </cell>
          <cell r="T28">
            <v>16000</v>
          </cell>
          <cell r="U28">
            <v>16000.000000000002</v>
          </cell>
          <cell r="V28">
            <v>0</v>
          </cell>
          <cell r="W28">
            <v>0</v>
          </cell>
          <cell r="Y28">
            <v>8011.6129032258068</v>
          </cell>
          <cell r="Z28">
            <v>8011.6129032258068</v>
          </cell>
          <cell r="AA28">
            <v>24011.61290322581</v>
          </cell>
          <cell r="AC28">
            <v>24011.61290322581</v>
          </cell>
          <cell r="AD28">
            <v>24012</v>
          </cell>
          <cell r="AE28" t="str">
            <v>Paid from lalpania on 18.05.2026</v>
          </cell>
          <cell r="AF28">
            <v>-0.38709677418955835</v>
          </cell>
        </row>
        <row r="29">
          <cell r="B29" t="str">
            <v>BHOLA MAHTO (Polc.H)</v>
          </cell>
          <cell r="C29" t="str">
            <v>new</v>
          </cell>
          <cell r="D29" t="str">
            <v>Polc. H</v>
          </cell>
          <cell r="E29" t="str">
            <v>Karo</v>
          </cell>
          <cell r="F29">
            <v>0</v>
          </cell>
          <cell r="G29">
            <v>30</v>
          </cell>
          <cell r="H29">
            <v>26</v>
          </cell>
          <cell r="I29">
            <v>4</v>
          </cell>
          <cell r="J29">
            <v>3</v>
          </cell>
          <cell r="K29">
            <v>4</v>
          </cell>
          <cell r="M29">
            <v>7</v>
          </cell>
          <cell r="N29">
            <v>33</v>
          </cell>
          <cell r="O29">
            <v>4</v>
          </cell>
          <cell r="P29">
            <v>30</v>
          </cell>
          <cell r="Q29">
            <v>3</v>
          </cell>
          <cell r="R29">
            <v>0</v>
          </cell>
          <cell r="S29">
            <v>8500</v>
          </cell>
          <cell r="T29">
            <v>9500</v>
          </cell>
          <cell r="U29">
            <v>9500</v>
          </cell>
          <cell r="V29">
            <v>0</v>
          </cell>
          <cell r="W29">
            <v>0</v>
          </cell>
          <cell r="Y29">
            <v>9496.6666666666642</v>
          </cell>
          <cell r="Z29">
            <v>9496.6666666666642</v>
          </cell>
          <cell r="AA29">
            <v>18996.666666666664</v>
          </cell>
          <cell r="AC29">
            <v>18996.666666666664</v>
          </cell>
          <cell r="AD29">
            <v>19000</v>
          </cell>
          <cell r="AE29" t="str">
            <v>from karo on 17.05.2026</v>
          </cell>
          <cell r="AF29">
            <v>-3.3333333333357587</v>
          </cell>
        </row>
        <row r="30">
          <cell r="B30" t="str">
            <v>BIPIN KUMAR (RAJAK)</v>
          </cell>
          <cell r="C30" t="str">
            <v>LOCAL</v>
          </cell>
          <cell r="D30" t="str">
            <v>T/D</v>
          </cell>
          <cell r="E30">
            <v>0</v>
          </cell>
          <cell r="F30">
            <v>0</v>
          </cell>
          <cell r="G30">
            <v>30</v>
          </cell>
          <cell r="H30">
            <v>0</v>
          </cell>
          <cell r="I30">
            <v>30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15000</v>
          </cell>
          <cell r="T30">
            <v>16000</v>
          </cell>
          <cell r="U30">
            <v>0</v>
          </cell>
          <cell r="V30">
            <v>0.35483870967755138</v>
          </cell>
          <cell r="W30">
            <v>0.35483870967755138</v>
          </cell>
          <cell r="Y30">
            <v>0</v>
          </cell>
          <cell r="Z30">
            <v>0</v>
          </cell>
          <cell r="AA30">
            <v>-0.35483870967755138</v>
          </cell>
          <cell r="AC30">
            <v>-0.35483870967755138</v>
          </cell>
          <cell r="AD30">
            <v>0</v>
          </cell>
          <cell r="AE30">
            <v>0</v>
          </cell>
          <cell r="AF30">
            <v>-0.35483870967755138</v>
          </cell>
        </row>
        <row r="31">
          <cell r="B31" t="str">
            <v>Birendra Kr. Prasad</v>
          </cell>
          <cell r="C31" t="str">
            <v>new</v>
          </cell>
          <cell r="D31" t="str">
            <v>supervisor</v>
          </cell>
          <cell r="E31" t="str">
            <v>Lal</v>
          </cell>
          <cell r="F31">
            <v>0</v>
          </cell>
          <cell r="G31">
            <v>30</v>
          </cell>
          <cell r="H31">
            <v>30</v>
          </cell>
          <cell r="I31">
            <v>0</v>
          </cell>
          <cell r="J31">
            <v>11</v>
          </cell>
          <cell r="K31">
            <v>4</v>
          </cell>
          <cell r="M31">
            <v>15</v>
          </cell>
          <cell r="N31">
            <v>45</v>
          </cell>
          <cell r="P31">
            <v>30</v>
          </cell>
          <cell r="Q31">
            <v>15</v>
          </cell>
          <cell r="R31">
            <v>0</v>
          </cell>
          <cell r="S31">
            <v>12000</v>
          </cell>
          <cell r="T31">
            <v>13000</v>
          </cell>
          <cell r="U31">
            <v>13000</v>
          </cell>
          <cell r="V31">
            <v>0</v>
          </cell>
          <cell r="W31">
            <v>0</v>
          </cell>
          <cell r="Y31">
            <v>8500</v>
          </cell>
          <cell r="Z31">
            <v>8500</v>
          </cell>
          <cell r="AA31">
            <v>21500</v>
          </cell>
          <cell r="AC31">
            <v>21500</v>
          </cell>
          <cell r="AD31">
            <v>21500</v>
          </cell>
          <cell r="AE31" t="str">
            <v>paid from lalpania on 18.5.2026</v>
          </cell>
          <cell r="AF31">
            <v>0</v>
          </cell>
        </row>
        <row r="32">
          <cell r="B32" t="str">
            <v>BIRENDRA KUMAR</v>
          </cell>
          <cell r="C32" t="str">
            <v>new</v>
          </cell>
          <cell r="D32" t="str">
            <v>supervisor</v>
          </cell>
          <cell r="E32">
            <v>0</v>
          </cell>
          <cell r="F32">
            <v>0</v>
          </cell>
          <cell r="G32">
            <v>30</v>
          </cell>
          <cell r="H32">
            <v>0</v>
          </cell>
          <cell r="I32">
            <v>30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S32">
            <v>9000</v>
          </cell>
          <cell r="T32">
            <v>9000</v>
          </cell>
          <cell r="U32">
            <v>0</v>
          </cell>
          <cell r="V32">
            <v>21</v>
          </cell>
          <cell r="W32">
            <v>21</v>
          </cell>
          <cell r="Y32">
            <v>0</v>
          </cell>
          <cell r="Z32">
            <v>0</v>
          </cell>
          <cell r="AA32">
            <v>-21</v>
          </cell>
          <cell r="AC32">
            <v>-21</v>
          </cell>
          <cell r="AD32">
            <v>0</v>
          </cell>
          <cell r="AE32">
            <v>0</v>
          </cell>
          <cell r="AF32">
            <v>-21</v>
          </cell>
        </row>
        <row r="33">
          <cell r="B33" t="str">
            <v>Budhan Singh</v>
          </cell>
          <cell r="C33" t="str">
            <v>new</v>
          </cell>
          <cell r="D33" t="str">
            <v>N/G</v>
          </cell>
          <cell r="E33" t="str">
            <v>Karo</v>
          </cell>
          <cell r="F33">
            <v>0</v>
          </cell>
          <cell r="G33">
            <v>30</v>
          </cell>
          <cell r="H33">
            <v>29</v>
          </cell>
          <cell r="I33">
            <v>1</v>
          </cell>
          <cell r="J33">
            <v>0</v>
          </cell>
          <cell r="K33">
            <v>0</v>
          </cell>
          <cell r="M33">
            <v>0</v>
          </cell>
          <cell r="N33">
            <v>29</v>
          </cell>
          <cell r="O33">
            <v>0</v>
          </cell>
          <cell r="P33">
            <v>29</v>
          </cell>
          <cell r="Q33">
            <v>0</v>
          </cell>
          <cell r="R33">
            <v>0</v>
          </cell>
          <cell r="S33">
            <v>8000</v>
          </cell>
          <cell r="T33">
            <v>9000</v>
          </cell>
          <cell r="U33">
            <v>8700</v>
          </cell>
          <cell r="V33">
            <v>0</v>
          </cell>
          <cell r="W33">
            <v>0</v>
          </cell>
          <cell r="Y33">
            <v>9000.6370046082957</v>
          </cell>
          <cell r="Z33">
            <v>9000.6370046082957</v>
          </cell>
          <cell r="AA33">
            <v>17700.637004608296</v>
          </cell>
          <cell r="AC33">
            <v>17700.637004608296</v>
          </cell>
          <cell r="AD33">
            <v>17700</v>
          </cell>
          <cell r="AE33" t="str">
            <v>from karo on 17.05.2026</v>
          </cell>
          <cell r="AF33">
            <v>0.63700460829568328</v>
          </cell>
        </row>
        <row r="34">
          <cell r="B34" t="str">
            <v>CHANDAN KR MAHTO</v>
          </cell>
          <cell r="C34" t="str">
            <v>new</v>
          </cell>
          <cell r="D34" t="str">
            <v>JCB.Help</v>
          </cell>
          <cell r="E34">
            <v>0</v>
          </cell>
          <cell r="F34">
            <v>0</v>
          </cell>
          <cell r="G34">
            <v>30</v>
          </cell>
          <cell r="H34">
            <v>0</v>
          </cell>
          <cell r="I34">
            <v>30</v>
          </cell>
          <cell r="J34">
            <v>0</v>
          </cell>
          <cell r="K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  <cell r="S34">
            <v>8500</v>
          </cell>
          <cell r="T34">
            <v>9500</v>
          </cell>
          <cell r="U34">
            <v>0</v>
          </cell>
          <cell r="V34">
            <v>0</v>
          </cell>
          <cell r="W34">
            <v>0</v>
          </cell>
          <cell r="Y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 t="str">
            <v>Choudhary Charan Mahto</v>
          </cell>
          <cell r="C35" t="str">
            <v>new</v>
          </cell>
          <cell r="D35" t="str">
            <v>T/D</v>
          </cell>
          <cell r="E35">
            <v>0</v>
          </cell>
          <cell r="F35">
            <v>0</v>
          </cell>
          <cell r="G35">
            <v>30</v>
          </cell>
          <cell r="H35">
            <v>0</v>
          </cell>
          <cell r="I35">
            <v>30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P35">
            <v>0</v>
          </cell>
          <cell r="Q35">
            <v>0</v>
          </cell>
          <cell r="R35">
            <v>0</v>
          </cell>
          <cell r="S35">
            <v>14500</v>
          </cell>
          <cell r="T35">
            <v>14500</v>
          </cell>
          <cell r="U35">
            <v>0</v>
          </cell>
          <cell r="V35">
            <v>0</v>
          </cell>
          <cell r="W35">
            <v>0</v>
          </cell>
          <cell r="Y35">
            <v>4199.9974193548387</v>
          </cell>
          <cell r="Z35">
            <v>4199.9974193548387</v>
          </cell>
          <cell r="AA35">
            <v>4199.9974193548387</v>
          </cell>
          <cell r="AC35">
            <v>4199.9974193548387</v>
          </cell>
          <cell r="AD35">
            <v>0</v>
          </cell>
          <cell r="AE35">
            <v>0</v>
          </cell>
          <cell r="AF35">
            <v>4199.9974193548387</v>
          </cell>
        </row>
        <row r="36">
          <cell r="B36" t="str">
            <v>DAS NAG</v>
          </cell>
          <cell r="C36" t="str">
            <v>new</v>
          </cell>
          <cell r="D36" t="str">
            <v>H</v>
          </cell>
          <cell r="E36">
            <v>0</v>
          </cell>
          <cell r="F36">
            <v>0</v>
          </cell>
          <cell r="G36">
            <v>30</v>
          </cell>
          <cell r="H36">
            <v>0</v>
          </cell>
          <cell r="I36">
            <v>30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  <cell r="R36">
            <v>0</v>
          </cell>
          <cell r="S36">
            <v>8500</v>
          </cell>
          <cell r="T36">
            <v>9500</v>
          </cell>
          <cell r="U36">
            <v>0</v>
          </cell>
          <cell r="V36">
            <v>0</v>
          </cell>
          <cell r="W36">
            <v>0</v>
          </cell>
          <cell r="Y36">
            <v>3.7757296466952539</v>
          </cell>
          <cell r="Z36">
            <v>3.7757296466952539</v>
          </cell>
          <cell r="AA36">
            <v>3.7757296466952539</v>
          </cell>
          <cell r="AC36">
            <v>3.7757296466952539</v>
          </cell>
          <cell r="AD36">
            <v>0</v>
          </cell>
          <cell r="AE36">
            <v>0</v>
          </cell>
          <cell r="AF36">
            <v>3.7757296466952539</v>
          </cell>
        </row>
        <row r="37">
          <cell r="B37" t="str">
            <v>DHARMENDRA KARMALI</v>
          </cell>
          <cell r="C37" t="str">
            <v>old</v>
          </cell>
          <cell r="D37" t="str">
            <v>H</v>
          </cell>
          <cell r="E37" t="str">
            <v>lal</v>
          </cell>
          <cell r="F37">
            <v>0</v>
          </cell>
          <cell r="G37">
            <v>30</v>
          </cell>
          <cell r="H37">
            <v>22</v>
          </cell>
          <cell r="I37">
            <v>8</v>
          </cell>
          <cell r="J37">
            <v>-1</v>
          </cell>
          <cell r="K37">
            <v>3</v>
          </cell>
          <cell r="M37">
            <v>3</v>
          </cell>
          <cell r="N37">
            <v>25</v>
          </cell>
          <cell r="P37">
            <v>25</v>
          </cell>
          <cell r="Q37">
            <v>0</v>
          </cell>
          <cell r="R37">
            <v>-1</v>
          </cell>
          <cell r="S37">
            <v>8500</v>
          </cell>
          <cell r="T37">
            <v>9500</v>
          </cell>
          <cell r="U37">
            <v>7916.666666666667</v>
          </cell>
          <cell r="V37">
            <v>0</v>
          </cell>
          <cell r="W37">
            <v>0</v>
          </cell>
          <cell r="Y37">
            <v>1270.1935483870966</v>
          </cell>
          <cell r="Z37">
            <v>1270.1935483870966</v>
          </cell>
          <cell r="AA37">
            <v>9186.8602150537627</v>
          </cell>
          <cell r="AC37">
            <v>9186.8602150537627</v>
          </cell>
          <cell r="AD37">
            <v>10000</v>
          </cell>
          <cell r="AE37" t="str">
            <v>paid from lalpania on 18.08.2026</v>
          </cell>
          <cell r="AF37">
            <v>-813.13978494623734</v>
          </cell>
        </row>
        <row r="38">
          <cell r="B38" t="str">
            <v>Dharmendra Kr. Tiwari</v>
          </cell>
          <cell r="C38" t="str">
            <v>new</v>
          </cell>
          <cell r="D38" t="str">
            <v>supervisor</v>
          </cell>
          <cell r="E38" t="str">
            <v>Karo</v>
          </cell>
          <cell r="F38">
            <v>0</v>
          </cell>
          <cell r="G38">
            <v>30</v>
          </cell>
          <cell r="H38">
            <v>26</v>
          </cell>
          <cell r="I38">
            <v>4</v>
          </cell>
          <cell r="J38">
            <v>-3.5</v>
          </cell>
          <cell r="K38">
            <v>4</v>
          </cell>
          <cell r="M38">
            <v>4</v>
          </cell>
          <cell r="N38">
            <v>30</v>
          </cell>
          <cell r="O38">
            <v>4</v>
          </cell>
          <cell r="P38">
            <v>30</v>
          </cell>
          <cell r="Q38">
            <v>0</v>
          </cell>
          <cell r="R38">
            <v>-3.5</v>
          </cell>
          <cell r="S38">
            <v>9000</v>
          </cell>
          <cell r="T38">
            <v>10000</v>
          </cell>
          <cell r="U38">
            <v>10000</v>
          </cell>
          <cell r="V38">
            <v>0</v>
          </cell>
          <cell r="W38">
            <v>0</v>
          </cell>
          <cell r="Y38">
            <v>7382.8341013824929</v>
          </cell>
          <cell r="Z38">
            <v>7382.8341013824929</v>
          </cell>
          <cell r="AA38">
            <v>17382.834101382494</v>
          </cell>
          <cell r="AC38">
            <v>17382.834101382494</v>
          </cell>
          <cell r="AD38">
            <v>17400</v>
          </cell>
          <cell r="AE38" t="str">
            <v>from karo on 17.05.2026</v>
          </cell>
          <cell r="AF38">
            <v>-17.165898617506173</v>
          </cell>
        </row>
        <row r="39">
          <cell r="B39" t="str">
            <v>DHARMVEER KR.</v>
          </cell>
          <cell r="C39" t="str">
            <v>NEW</v>
          </cell>
          <cell r="D39" t="str">
            <v>D.H</v>
          </cell>
          <cell r="E39">
            <v>0</v>
          </cell>
          <cell r="F39">
            <v>0</v>
          </cell>
          <cell r="G39">
            <v>30</v>
          </cell>
          <cell r="H39">
            <v>0</v>
          </cell>
          <cell r="I39">
            <v>30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S39">
            <v>8000</v>
          </cell>
          <cell r="T39">
            <v>9000</v>
          </cell>
          <cell r="U39">
            <v>0</v>
          </cell>
          <cell r="V39">
            <v>0</v>
          </cell>
          <cell r="W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B40" t="str">
            <v>DILIP YADAV</v>
          </cell>
          <cell r="C40" t="str">
            <v>new</v>
          </cell>
          <cell r="D40" t="str">
            <v>Polc.Op</v>
          </cell>
          <cell r="E40" t="str">
            <v>Tori</v>
          </cell>
          <cell r="F40">
            <v>0</v>
          </cell>
          <cell r="G40">
            <v>30</v>
          </cell>
          <cell r="H40">
            <v>22</v>
          </cell>
          <cell r="I40">
            <v>8</v>
          </cell>
          <cell r="J40">
            <v>9</v>
          </cell>
          <cell r="K40">
            <v>3</v>
          </cell>
          <cell r="M40">
            <v>12</v>
          </cell>
          <cell r="N40">
            <v>34</v>
          </cell>
          <cell r="P40">
            <v>30</v>
          </cell>
          <cell r="Q40">
            <v>4</v>
          </cell>
          <cell r="R40">
            <v>0</v>
          </cell>
          <cell r="S40">
            <v>15000</v>
          </cell>
          <cell r="T40">
            <v>17000</v>
          </cell>
          <cell r="U40">
            <v>17000</v>
          </cell>
          <cell r="V40">
            <v>0</v>
          </cell>
          <cell r="W40">
            <v>0</v>
          </cell>
          <cell r="Y40">
            <v>0</v>
          </cell>
          <cell r="Z40">
            <v>0</v>
          </cell>
          <cell r="AA40">
            <v>17000</v>
          </cell>
          <cell r="AC40">
            <v>17000</v>
          </cell>
          <cell r="AD40">
            <v>17000</v>
          </cell>
          <cell r="AE40" t="str">
            <v>From K.E on 12.05.2026</v>
          </cell>
          <cell r="AF40">
            <v>0</v>
          </cell>
        </row>
        <row r="41">
          <cell r="B41" t="str">
            <v>Ganesh Singh</v>
          </cell>
          <cell r="C41" t="str">
            <v>new</v>
          </cell>
          <cell r="D41" t="str">
            <v>N/G</v>
          </cell>
          <cell r="E41" t="str">
            <v>Karo</v>
          </cell>
          <cell r="F41">
            <v>0</v>
          </cell>
          <cell r="G41">
            <v>30</v>
          </cell>
          <cell r="H41">
            <v>28</v>
          </cell>
          <cell r="I41">
            <v>2</v>
          </cell>
          <cell r="J41">
            <v>0</v>
          </cell>
          <cell r="K41">
            <v>0</v>
          </cell>
          <cell r="M41">
            <v>0</v>
          </cell>
          <cell r="N41">
            <v>28</v>
          </cell>
          <cell r="O41">
            <v>0</v>
          </cell>
          <cell r="P41">
            <v>28</v>
          </cell>
          <cell r="Q41">
            <v>0</v>
          </cell>
          <cell r="R41">
            <v>0</v>
          </cell>
          <cell r="S41">
            <v>8000</v>
          </cell>
          <cell r="T41">
            <v>9000</v>
          </cell>
          <cell r="U41">
            <v>8400</v>
          </cell>
          <cell r="V41">
            <v>0</v>
          </cell>
          <cell r="W41">
            <v>0</v>
          </cell>
          <cell r="Y41">
            <v>8420.4541167434763</v>
          </cell>
          <cell r="Z41">
            <v>8420.4541167434763</v>
          </cell>
          <cell r="AA41">
            <v>16820.454116743476</v>
          </cell>
          <cell r="AC41">
            <v>16820.454116743476</v>
          </cell>
          <cell r="AD41">
            <v>16820</v>
          </cell>
          <cell r="AE41" t="str">
            <v>from karo on 17.05.2026</v>
          </cell>
          <cell r="AF41">
            <v>0.4541167434763338</v>
          </cell>
        </row>
        <row r="42">
          <cell r="B42" t="str">
            <v>GHANSHYAM GANJHU</v>
          </cell>
          <cell r="C42" t="str">
            <v>new</v>
          </cell>
          <cell r="D42" t="str">
            <v>T/H</v>
          </cell>
          <cell r="E42">
            <v>0</v>
          </cell>
          <cell r="F42">
            <v>0</v>
          </cell>
          <cell r="G42">
            <v>30</v>
          </cell>
          <cell r="H42">
            <v>0</v>
          </cell>
          <cell r="I42">
            <v>30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P42">
            <v>0</v>
          </cell>
          <cell r="Q42">
            <v>0</v>
          </cell>
          <cell r="R42">
            <v>0</v>
          </cell>
          <cell r="S42">
            <v>8500</v>
          </cell>
          <cell r="T42">
            <v>9500</v>
          </cell>
          <cell r="U42">
            <v>0</v>
          </cell>
          <cell r="V42">
            <v>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B43" t="str">
            <v>Ghanshyam Mahto</v>
          </cell>
          <cell r="C43" t="str">
            <v>new</v>
          </cell>
          <cell r="D43" t="str">
            <v>N/G</v>
          </cell>
          <cell r="E43" t="str">
            <v>Karo</v>
          </cell>
          <cell r="F43">
            <v>0</v>
          </cell>
          <cell r="G43">
            <v>30</v>
          </cell>
          <cell r="H43">
            <v>28</v>
          </cell>
          <cell r="I43">
            <v>2</v>
          </cell>
          <cell r="J43">
            <v>0</v>
          </cell>
          <cell r="K43">
            <v>0</v>
          </cell>
          <cell r="M43">
            <v>0</v>
          </cell>
          <cell r="N43">
            <v>28</v>
          </cell>
          <cell r="O43">
            <v>0</v>
          </cell>
          <cell r="P43">
            <v>28</v>
          </cell>
          <cell r="Q43">
            <v>0</v>
          </cell>
          <cell r="R43">
            <v>0</v>
          </cell>
          <cell r="S43">
            <v>8000</v>
          </cell>
          <cell r="T43">
            <v>9000</v>
          </cell>
          <cell r="U43">
            <v>8400</v>
          </cell>
          <cell r="V43">
            <v>0</v>
          </cell>
          <cell r="W43">
            <v>0</v>
          </cell>
          <cell r="Y43">
            <v>8128.8679877112163</v>
          </cell>
          <cell r="Z43">
            <v>8128.8679877112163</v>
          </cell>
          <cell r="AA43">
            <v>16528.867987711215</v>
          </cell>
          <cell r="AC43">
            <v>16528.867987711215</v>
          </cell>
          <cell r="AD43">
            <v>16530</v>
          </cell>
          <cell r="AE43" t="str">
            <v>from karo on 17.05.2026</v>
          </cell>
          <cell r="AF43">
            <v>-1.1320122887846082</v>
          </cell>
        </row>
        <row r="44">
          <cell r="B44" t="str">
            <v>Ghanshyam Singh</v>
          </cell>
          <cell r="C44" t="str">
            <v>new</v>
          </cell>
          <cell r="D44" t="str">
            <v>D/OP</v>
          </cell>
          <cell r="E44" t="str">
            <v>Karo</v>
          </cell>
          <cell r="F44">
            <v>0</v>
          </cell>
          <cell r="G44">
            <v>30</v>
          </cell>
          <cell r="H44">
            <v>27</v>
          </cell>
          <cell r="I44">
            <v>3</v>
          </cell>
          <cell r="J44">
            <v>-1</v>
          </cell>
          <cell r="K44">
            <v>4</v>
          </cell>
          <cell r="M44">
            <v>4</v>
          </cell>
          <cell r="N44">
            <v>31</v>
          </cell>
          <cell r="O44">
            <v>3</v>
          </cell>
          <cell r="P44">
            <v>30</v>
          </cell>
          <cell r="Q44">
            <v>1</v>
          </cell>
          <cell r="R44">
            <v>-1</v>
          </cell>
          <cell r="S44">
            <v>15000</v>
          </cell>
          <cell r="T44">
            <v>17000</v>
          </cell>
          <cell r="U44">
            <v>17000</v>
          </cell>
          <cell r="V44">
            <v>0</v>
          </cell>
          <cell r="W44">
            <v>0</v>
          </cell>
          <cell r="Y44">
            <v>12999.677419354841</v>
          </cell>
          <cell r="Z44">
            <v>12999.677419354841</v>
          </cell>
          <cell r="AA44">
            <v>29999.677419354841</v>
          </cell>
          <cell r="AC44">
            <v>29999.677419354841</v>
          </cell>
          <cell r="AD44">
            <v>30000</v>
          </cell>
          <cell r="AE44" t="str">
            <v>from karo on 17.05.2026</v>
          </cell>
          <cell r="AF44">
            <v>-0.32258064515917795</v>
          </cell>
        </row>
        <row r="45">
          <cell r="B45" t="str">
            <v>Gopal Mahto</v>
          </cell>
          <cell r="C45" t="str">
            <v>old</v>
          </cell>
          <cell r="D45" t="str">
            <v>WELDER</v>
          </cell>
          <cell r="E45" t="str">
            <v>Karo/Tori</v>
          </cell>
          <cell r="F45">
            <v>0</v>
          </cell>
          <cell r="G45">
            <v>30</v>
          </cell>
          <cell r="H45">
            <v>24</v>
          </cell>
          <cell r="I45">
            <v>6</v>
          </cell>
          <cell r="J45">
            <v>-7</v>
          </cell>
          <cell r="K45">
            <v>3</v>
          </cell>
          <cell r="L45">
            <v>3</v>
          </cell>
          <cell r="M45">
            <v>6</v>
          </cell>
          <cell r="N45">
            <v>30</v>
          </cell>
          <cell r="O45">
            <v>6</v>
          </cell>
          <cell r="P45">
            <v>30</v>
          </cell>
          <cell r="Q45">
            <v>0</v>
          </cell>
          <cell r="R45">
            <v>-10</v>
          </cell>
          <cell r="S45">
            <v>15000</v>
          </cell>
          <cell r="T45">
            <v>17000</v>
          </cell>
          <cell r="U45">
            <v>17000</v>
          </cell>
          <cell r="V45">
            <v>24000</v>
          </cell>
          <cell r="W45">
            <v>24000</v>
          </cell>
          <cell r="Y45">
            <v>0</v>
          </cell>
          <cell r="Z45">
            <v>0</v>
          </cell>
          <cell r="AA45">
            <v>-7000</v>
          </cell>
          <cell r="AC45">
            <v>-7000</v>
          </cell>
          <cell r="AD45">
            <v>10000</v>
          </cell>
          <cell r="AE45" t="str">
            <v>from karo on 23.05.2026</v>
          </cell>
          <cell r="AF45">
            <v>-17000</v>
          </cell>
        </row>
        <row r="46">
          <cell r="B46" t="str">
            <v>GOPESH KUMAR</v>
          </cell>
          <cell r="C46" t="str">
            <v>new</v>
          </cell>
          <cell r="D46" t="str">
            <v>ENGG.</v>
          </cell>
          <cell r="E46">
            <v>0</v>
          </cell>
          <cell r="F46">
            <v>0</v>
          </cell>
          <cell r="G46">
            <v>30</v>
          </cell>
          <cell r="H46">
            <v>0</v>
          </cell>
          <cell r="I46">
            <v>30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  <cell r="S46">
            <v>35000</v>
          </cell>
          <cell r="T46">
            <v>37000</v>
          </cell>
          <cell r="U46">
            <v>0</v>
          </cell>
          <cell r="V46">
            <v>0</v>
          </cell>
          <cell r="W46">
            <v>0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 t="str">
            <v>Govind Pandit</v>
          </cell>
          <cell r="C47" t="str">
            <v>old</v>
          </cell>
          <cell r="D47" t="str">
            <v>T. FOREMAN</v>
          </cell>
          <cell r="E47" t="str">
            <v>Karo</v>
          </cell>
          <cell r="F47">
            <v>0</v>
          </cell>
          <cell r="G47">
            <v>30</v>
          </cell>
          <cell r="H47">
            <v>28</v>
          </cell>
          <cell r="I47">
            <v>2</v>
          </cell>
          <cell r="J47">
            <v>5</v>
          </cell>
          <cell r="K47">
            <v>4</v>
          </cell>
          <cell r="M47">
            <v>9</v>
          </cell>
          <cell r="N47">
            <v>37</v>
          </cell>
          <cell r="O47">
            <v>2</v>
          </cell>
          <cell r="P47">
            <v>30</v>
          </cell>
          <cell r="Q47">
            <v>7</v>
          </cell>
          <cell r="R47">
            <v>0</v>
          </cell>
          <cell r="S47">
            <v>16000</v>
          </cell>
          <cell r="T47">
            <v>18000</v>
          </cell>
          <cell r="U47">
            <v>18000</v>
          </cell>
          <cell r="V47">
            <v>0</v>
          </cell>
          <cell r="W47">
            <v>0</v>
          </cell>
          <cell r="Y47">
            <v>18000</v>
          </cell>
          <cell r="Z47">
            <v>18000</v>
          </cell>
          <cell r="AA47">
            <v>36000</v>
          </cell>
          <cell r="AC47">
            <v>36000</v>
          </cell>
          <cell r="AD47">
            <v>36000</v>
          </cell>
          <cell r="AE47" t="str">
            <v>from karo on 17.05.2026</v>
          </cell>
          <cell r="AF47">
            <v>0</v>
          </cell>
        </row>
        <row r="48">
          <cell r="B48" t="str">
            <v>HARAKLAL MAHTO</v>
          </cell>
          <cell r="C48" t="str">
            <v>new</v>
          </cell>
          <cell r="D48" t="str">
            <v>N/G</v>
          </cell>
          <cell r="E48">
            <v>0</v>
          </cell>
          <cell r="F48">
            <v>0</v>
          </cell>
          <cell r="G48">
            <v>30</v>
          </cell>
          <cell r="H48">
            <v>0</v>
          </cell>
          <cell r="I48">
            <v>30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S48">
            <v>10850</v>
          </cell>
          <cell r="T48">
            <v>11850</v>
          </cell>
          <cell r="U48">
            <v>0</v>
          </cell>
          <cell r="V48">
            <v>0</v>
          </cell>
          <cell r="W48">
            <v>0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B49" t="str">
            <v>HARI CHARAN MAHTO</v>
          </cell>
          <cell r="C49" t="str">
            <v>old</v>
          </cell>
          <cell r="D49" t="str">
            <v>supervisor</v>
          </cell>
          <cell r="E49" t="str">
            <v>Tori</v>
          </cell>
          <cell r="F49">
            <v>0</v>
          </cell>
          <cell r="G49">
            <v>30</v>
          </cell>
          <cell r="H49">
            <v>28</v>
          </cell>
          <cell r="I49">
            <v>2</v>
          </cell>
          <cell r="J49">
            <v>-4</v>
          </cell>
          <cell r="K49">
            <v>4</v>
          </cell>
          <cell r="M49">
            <v>4</v>
          </cell>
          <cell r="N49">
            <v>32</v>
          </cell>
          <cell r="P49">
            <v>30</v>
          </cell>
          <cell r="Q49">
            <v>2</v>
          </cell>
          <cell r="R49">
            <v>-4</v>
          </cell>
          <cell r="S49">
            <v>12000</v>
          </cell>
          <cell r="T49">
            <v>14000</v>
          </cell>
          <cell r="U49">
            <v>14000</v>
          </cell>
          <cell r="V49">
            <v>6000</v>
          </cell>
          <cell r="W49">
            <v>6000</v>
          </cell>
          <cell r="Y49">
            <v>0</v>
          </cell>
          <cell r="Z49">
            <v>0</v>
          </cell>
          <cell r="AA49">
            <v>8000</v>
          </cell>
          <cell r="AC49">
            <v>8000</v>
          </cell>
          <cell r="AD49">
            <v>0</v>
          </cell>
          <cell r="AE49">
            <v>0</v>
          </cell>
          <cell r="AF49">
            <v>8000</v>
          </cell>
        </row>
        <row r="50">
          <cell r="B50" t="str">
            <v>Herman Ekka</v>
          </cell>
          <cell r="C50" t="str">
            <v>new</v>
          </cell>
          <cell r="D50" t="str">
            <v>COOK</v>
          </cell>
          <cell r="E50">
            <v>0</v>
          </cell>
          <cell r="F50">
            <v>0</v>
          </cell>
          <cell r="G50">
            <v>30</v>
          </cell>
          <cell r="H50">
            <v>0</v>
          </cell>
          <cell r="I50">
            <v>30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S50">
            <v>11000</v>
          </cell>
          <cell r="T50">
            <v>11000</v>
          </cell>
          <cell r="U50">
            <v>0</v>
          </cell>
          <cell r="V50">
            <v>0</v>
          </cell>
          <cell r="W50">
            <v>0</v>
          </cell>
          <cell r="Y50">
            <v>0.33333333333348492</v>
          </cell>
          <cell r="Z50">
            <v>0.33333333333348492</v>
          </cell>
          <cell r="AA50">
            <v>0.33333333333348492</v>
          </cell>
          <cell r="AC50">
            <v>0.33333333333348492</v>
          </cell>
          <cell r="AD50">
            <v>0</v>
          </cell>
          <cell r="AE50">
            <v>0</v>
          </cell>
          <cell r="AF50">
            <v>0.33333333333348492</v>
          </cell>
        </row>
        <row r="51">
          <cell r="B51" t="str">
            <v>HIMANSHU KUMAR</v>
          </cell>
          <cell r="C51" t="str">
            <v>new</v>
          </cell>
          <cell r="D51" t="str">
            <v>ENGG.</v>
          </cell>
          <cell r="E51">
            <v>0</v>
          </cell>
          <cell r="F51">
            <v>0</v>
          </cell>
          <cell r="G51">
            <v>30</v>
          </cell>
          <cell r="H51">
            <v>0</v>
          </cell>
          <cell r="I51">
            <v>30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S51">
            <v>28000</v>
          </cell>
          <cell r="T51">
            <v>30000</v>
          </cell>
          <cell r="U51">
            <v>0</v>
          </cell>
          <cell r="V51">
            <v>0</v>
          </cell>
          <cell r="W51">
            <v>0</v>
          </cell>
          <cell r="Y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B52" t="str">
            <v>Inderdeo Yadav</v>
          </cell>
          <cell r="C52" t="str">
            <v>old</v>
          </cell>
          <cell r="D52" t="str">
            <v>Polc.Op</v>
          </cell>
          <cell r="E52" t="str">
            <v>Karo/ tori</v>
          </cell>
          <cell r="F52">
            <v>0</v>
          </cell>
          <cell r="G52">
            <v>30</v>
          </cell>
          <cell r="H52">
            <v>22</v>
          </cell>
          <cell r="I52">
            <v>8</v>
          </cell>
          <cell r="J52">
            <v>-4</v>
          </cell>
          <cell r="K52">
            <v>3</v>
          </cell>
          <cell r="L52">
            <v>2</v>
          </cell>
          <cell r="M52">
            <v>5</v>
          </cell>
          <cell r="N52">
            <v>27</v>
          </cell>
          <cell r="O52">
            <v>5</v>
          </cell>
          <cell r="P52">
            <v>27</v>
          </cell>
          <cell r="Q52">
            <v>0</v>
          </cell>
          <cell r="R52">
            <v>-6</v>
          </cell>
          <cell r="S52">
            <v>17500</v>
          </cell>
          <cell r="T52">
            <v>19500</v>
          </cell>
          <cell r="U52">
            <v>17550</v>
          </cell>
          <cell r="V52">
            <v>18243.907834101385</v>
          </cell>
          <cell r="W52">
            <v>18243.907834101385</v>
          </cell>
          <cell r="Y52">
            <v>0</v>
          </cell>
          <cell r="Z52">
            <v>0</v>
          </cell>
          <cell r="AA52">
            <v>-693.90783410138465</v>
          </cell>
          <cell r="AC52">
            <v>-693.90783410138465</v>
          </cell>
          <cell r="AD52">
            <v>0</v>
          </cell>
          <cell r="AE52">
            <v>0</v>
          </cell>
          <cell r="AF52">
            <v>-693.90783410138465</v>
          </cell>
        </row>
        <row r="53">
          <cell r="B53" t="str">
            <v>IRSHAD ALI</v>
          </cell>
          <cell r="C53" t="str">
            <v>NEW</v>
          </cell>
          <cell r="D53" t="str">
            <v>Store Incharge</v>
          </cell>
          <cell r="E53">
            <v>0</v>
          </cell>
          <cell r="F53">
            <v>0</v>
          </cell>
          <cell r="G53">
            <v>30</v>
          </cell>
          <cell r="H53">
            <v>0</v>
          </cell>
          <cell r="I53">
            <v>30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R53">
            <v>0</v>
          </cell>
          <cell r="S53">
            <v>11000</v>
          </cell>
          <cell r="T53">
            <v>11000</v>
          </cell>
          <cell r="U53">
            <v>0</v>
          </cell>
          <cell r="V53">
            <v>0</v>
          </cell>
          <cell r="W53">
            <v>0</v>
          </cell>
          <cell r="Y53">
            <v>12832.333333333334</v>
          </cell>
          <cell r="Z53">
            <v>12832.333333333334</v>
          </cell>
          <cell r="AA53">
            <v>12832.333333333334</v>
          </cell>
          <cell r="AC53">
            <v>12832.333333333334</v>
          </cell>
          <cell r="AD53">
            <v>0</v>
          </cell>
          <cell r="AE53">
            <v>0</v>
          </cell>
          <cell r="AF53">
            <v>12832.333333333334</v>
          </cell>
        </row>
        <row r="54">
          <cell r="B54" t="str">
            <v xml:space="preserve">JAGDISH MANDAL </v>
          </cell>
          <cell r="C54" t="str">
            <v>new</v>
          </cell>
          <cell r="D54" t="str">
            <v>BOLERO DR.</v>
          </cell>
          <cell r="E54">
            <v>0</v>
          </cell>
          <cell r="F54">
            <v>0</v>
          </cell>
          <cell r="G54">
            <v>30</v>
          </cell>
          <cell r="H54">
            <v>0</v>
          </cell>
          <cell r="I54">
            <v>30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P54">
            <v>0</v>
          </cell>
          <cell r="Q54">
            <v>0</v>
          </cell>
          <cell r="R54">
            <v>0</v>
          </cell>
          <cell r="S54">
            <v>11000</v>
          </cell>
          <cell r="T54">
            <v>11000</v>
          </cell>
          <cell r="U54">
            <v>0</v>
          </cell>
          <cell r="V54">
            <v>0</v>
          </cell>
          <cell r="W54">
            <v>0</v>
          </cell>
          <cell r="Y54">
            <v>13.978494623655934</v>
          </cell>
          <cell r="Z54">
            <v>13.978494623655934</v>
          </cell>
          <cell r="AA54">
            <v>13.978494623655934</v>
          </cell>
          <cell r="AC54">
            <v>13.978494623655934</v>
          </cell>
          <cell r="AD54">
            <v>0</v>
          </cell>
          <cell r="AE54">
            <v>0</v>
          </cell>
          <cell r="AF54">
            <v>13.978494623655934</v>
          </cell>
        </row>
        <row r="55">
          <cell r="B55" t="str">
            <v>JAGESHWAR YADAV (JAGO)</v>
          </cell>
          <cell r="C55" t="str">
            <v>old</v>
          </cell>
          <cell r="D55" t="str">
            <v>Polc.Op</v>
          </cell>
          <cell r="E55" t="str">
            <v>Karo/lal</v>
          </cell>
          <cell r="F55">
            <v>0</v>
          </cell>
          <cell r="G55">
            <v>30</v>
          </cell>
          <cell r="H55">
            <v>25</v>
          </cell>
          <cell r="I55">
            <v>5</v>
          </cell>
          <cell r="J55">
            <v>-4</v>
          </cell>
          <cell r="K55">
            <v>4</v>
          </cell>
          <cell r="M55">
            <v>4</v>
          </cell>
          <cell r="N55">
            <v>29</v>
          </cell>
          <cell r="O55">
            <v>4</v>
          </cell>
          <cell r="P55">
            <v>29</v>
          </cell>
          <cell r="Q55">
            <v>0</v>
          </cell>
          <cell r="R55">
            <v>-4</v>
          </cell>
          <cell r="S55">
            <v>17000</v>
          </cell>
          <cell r="T55">
            <v>19000</v>
          </cell>
          <cell r="U55">
            <v>18366.666666666668</v>
          </cell>
          <cell r="V55">
            <v>0</v>
          </cell>
          <cell r="W55">
            <v>0</v>
          </cell>
          <cell r="Y55">
            <v>15551.924731182795</v>
          </cell>
          <cell r="Z55">
            <v>15551.924731182795</v>
          </cell>
          <cell r="AA55">
            <v>33918.591397849465</v>
          </cell>
          <cell r="AC55">
            <v>33918.591397849465</v>
          </cell>
          <cell r="AD55">
            <v>33920</v>
          </cell>
          <cell r="AE55" t="str">
            <v>from karo on 20.05.2026</v>
          </cell>
          <cell r="AF55">
            <v>-1.4086021505354438</v>
          </cell>
        </row>
        <row r="56">
          <cell r="B56" t="str">
            <v>JAPIT GANJHU</v>
          </cell>
          <cell r="C56" t="str">
            <v>new</v>
          </cell>
          <cell r="D56" t="str">
            <v>H</v>
          </cell>
          <cell r="E56">
            <v>0</v>
          </cell>
          <cell r="F56">
            <v>0</v>
          </cell>
          <cell r="G56">
            <v>30</v>
          </cell>
          <cell r="H56">
            <v>0</v>
          </cell>
          <cell r="I56">
            <v>30</v>
          </cell>
          <cell r="J56">
            <v>0</v>
          </cell>
          <cell r="K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R56">
            <v>0</v>
          </cell>
          <cell r="S56">
            <v>8500</v>
          </cell>
          <cell r="T56">
            <v>9500</v>
          </cell>
          <cell r="U56">
            <v>0</v>
          </cell>
          <cell r="V56">
            <v>0</v>
          </cell>
          <cell r="W56">
            <v>0</v>
          </cell>
          <cell r="Y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B57" t="str">
            <v>JITENDRA KARMALI (JEETU)</v>
          </cell>
          <cell r="C57" t="str">
            <v>old</v>
          </cell>
          <cell r="D57" t="str">
            <v>supervisor</v>
          </cell>
          <cell r="E57" t="str">
            <v>Lal</v>
          </cell>
          <cell r="F57">
            <v>0</v>
          </cell>
          <cell r="G57">
            <v>30</v>
          </cell>
          <cell r="H57">
            <v>26</v>
          </cell>
          <cell r="I57">
            <v>4</v>
          </cell>
          <cell r="J57">
            <v>4</v>
          </cell>
          <cell r="K57">
            <v>4</v>
          </cell>
          <cell r="M57">
            <v>8</v>
          </cell>
          <cell r="N57">
            <v>34</v>
          </cell>
          <cell r="P57">
            <v>30</v>
          </cell>
          <cell r="Q57">
            <v>4</v>
          </cell>
          <cell r="R57">
            <v>0</v>
          </cell>
          <cell r="S57">
            <v>12000</v>
          </cell>
          <cell r="T57">
            <v>14000</v>
          </cell>
          <cell r="U57">
            <v>14000</v>
          </cell>
          <cell r="V57">
            <v>0</v>
          </cell>
          <cell r="W57">
            <v>0</v>
          </cell>
          <cell r="Y57">
            <v>9599.6666666666679</v>
          </cell>
          <cell r="Z57">
            <v>9599.6666666666679</v>
          </cell>
          <cell r="AA57">
            <v>23599.666666666668</v>
          </cell>
          <cell r="AC57">
            <v>23599.666666666668</v>
          </cell>
          <cell r="AD57">
            <v>23600</v>
          </cell>
          <cell r="AE57" t="str">
            <v>paid from lalpania on 18.05.2026</v>
          </cell>
          <cell r="AF57">
            <v>-0.33333333333212067</v>
          </cell>
        </row>
        <row r="58">
          <cell r="B58" t="str">
            <v>Jitendra Mahto</v>
          </cell>
          <cell r="C58" t="str">
            <v>new</v>
          </cell>
          <cell r="D58" t="str">
            <v>N/G</v>
          </cell>
          <cell r="E58" t="str">
            <v>Karo</v>
          </cell>
          <cell r="F58">
            <v>0</v>
          </cell>
          <cell r="G58">
            <v>30</v>
          </cell>
          <cell r="H58">
            <v>28</v>
          </cell>
          <cell r="I58">
            <v>2</v>
          </cell>
          <cell r="J58">
            <v>0</v>
          </cell>
          <cell r="K58">
            <v>0</v>
          </cell>
          <cell r="M58">
            <v>0</v>
          </cell>
          <cell r="N58">
            <v>28</v>
          </cell>
          <cell r="O58">
            <v>0</v>
          </cell>
          <cell r="P58">
            <v>28</v>
          </cell>
          <cell r="Q58">
            <v>0</v>
          </cell>
          <cell r="R58">
            <v>0</v>
          </cell>
          <cell r="S58">
            <v>8000</v>
          </cell>
          <cell r="T58">
            <v>9000</v>
          </cell>
          <cell r="U58">
            <v>8400</v>
          </cell>
          <cell r="V58">
            <v>0</v>
          </cell>
          <cell r="W58">
            <v>0</v>
          </cell>
          <cell r="Y58">
            <v>9000.3133640552987</v>
          </cell>
          <cell r="Z58">
            <v>9000.3133640552987</v>
          </cell>
          <cell r="AA58">
            <v>17400.313364055299</v>
          </cell>
          <cell r="AC58">
            <v>17400.313364055299</v>
          </cell>
          <cell r="AD58">
            <v>17401</v>
          </cell>
          <cell r="AE58" t="str">
            <v>from karo on 17.05.2026</v>
          </cell>
          <cell r="AF58">
            <v>-0.68663594470126554</v>
          </cell>
        </row>
        <row r="59">
          <cell r="B59" t="str">
            <v>JITENDRA SINGH</v>
          </cell>
          <cell r="C59" t="str">
            <v>new</v>
          </cell>
          <cell r="D59" t="str">
            <v>T/D</v>
          </cell>
          <cell r="E59">
            <v>0</v>
          </cell>
          <cell r="F59">
            <v>0</v>
          </cell>
          <cell r="G59">
            <v>30</v>
          </cell>
          <cell r="H59">
            <v>0</v>
          </cell>
          <cell r="I59">
            <v>30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P59">
            <v>0</v>
          </cell>
          <cell r="Q59">
            <v>0</v>
          </cell>
          <cell r="R59">
            <v>0</v>
          </cell>
          <cell r="S59">
            <v>14500</v>
          </cell>
          <cell r="T59">
            <v>16000</v>
          </cell>
          <cell r="U59">
            <v>0</v>
          </cell>
          <cell r="V59">
            <v>0</v>
          </cell>
          <cell r="W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B60" t="str">
            <v>KAILASH KARMALI (MAMTA DEVI)</v>
          </cell>
          <cell r="C60" t="str">
            <v>old</v>
          </cell>
          <cell r="D60" t="str">
            <v>OP</v>
          </cell>
          <cell r="E60" t="str">
            <v>Karo/tori</v>
          </cell>
          <cell r="F60">
            <v>0</v>
          </cell>
          <cell r="G60">
            <v>30</v>
          </cell>
          <cell r="H60">
            <v>25</v>
          </cell>
          <cell r="I60">
            <v>5</v>
          </cell>
          <cell r="J60">
            <v>3</v>
          </cell>
          <cell r="K60">
            <v>4</v>
          </cell>
          <cell r="M60">
            <v>7</v>
          </cell>
          <cell r="N60">
            <v>32</v>
          </cell>
          <cell r="O60">
            <v>5</v>
          </cell>
          <cell r="P60">
            <v>30</v>
          </cell>
          <cell r="Q60">
            <v>2</v>
          </cell>
          <cell r="R60">
            <v>0</v>
          </cell>
          <cell r="S60">
            <v>14000</v>
          </cell>
          <cell r="T60">
            <v>16000</v>
          </cell>
          <cell r="U60">
            <v>16000.000000000002</v>
          </cell>
          <cell r="V60">
            <v>0</v>
          </cell>
          <cell r="W60">
            <v>0</v>
          </cell>
          <cell r="Y60">
            <v>1.8189894035458565E-12</v>
          </cell>
          <cell r="Z60">
            <v>1.8189894035458565E-12</v>
          </cell>
          <cell r="AA60">
            <v>16000.000000000004</v>
          </cell>
          <cell r="AC60">
            <v>16000.000000000004</v>
          </cell>
          <cell r="AD60">
            <v>19000</v>
          </cell>
          <cell r="AE60" t="str">
            <v>From K.E on 12.05.2026,From Karo on 10.05.2026</v>
          </cell>
          <cell r="AF60">
            <v>-2999.9999999999964</v>
          </cell>
        </row>
        <row r="61">
          <cell r="B61" t="str">
            <v>KAMLESH KUMAR</v>
          </cell>
          <cell r="C61" t="str">
            <v>old</v>
          </cell>
          <cell r="D61" t="str">
            <v>T/D</v>
          </cell>
          <cell r="E61" t="str">
            <v>Lal</v>
          </cell>
          <cell r="F61">
            <v>0</v>
          </cell>
          <cell r="G61">
            <v>30</v>
          </cell>
          <cell r="H61">
            <v>17</v>
          </cell>
          <cell r="I61">
            <v>13</v>
          </cell>
          <cell r="J61">
            <v>1</v>
          </cell>
          <cell r="K61">
            <v>2</v>
          </cell>
          <cell r="M61">
            <v>3</v>
          </cell>
          <cell r="N61">
            <v>20</v>
          </cell>
          <cell r="P61">
            <v>20</v>
          </cell>
          <cell r="Q61">
            <v>0</v>
          </cell>
          <cell r="R61">
            <v>0</v>
          </cell>
          <cell r="S61">
            <v>14500</v>
          </cell>
          <cell r="T61">
            <v>16000</v>
          </cell>
          <cell r="U61">
            <v>10666.666666666668</v>
          </cell>
          <cell r="V61">
            <v>0</v>
          </cell>
          <cell r="W61">
            <v>0</v>
          </cell>
          <cell r="Y61">
            <v>15290.322580645159</v>
          </cell>
          <cell r="Z61">
            <v>15290.322580645159</v>
          </cell>
          <cell r="AA61">
            <v>25956.989247311827</v>
          </cell>
          <cell r="AC61">
            <v>25956.989247311827</v>
          </cell>
          <cell r="AD61">
            <v>26000</v>
          </cell>
          <cell r="AE61" t="str">
            <v>paid from lalpania on 18.05.2026</v>
          </cell>
          <cell r="AF61">
            <v>-43.010752688172943</v>
          </cell>
        </row>
        <row r="62">
          <cell r="B62" t="str">
            <v>Karan Karmali</v>
          </cell>
          <cell r="C62" t="str">
            <v>new</v>
          </cell>
          <cell r="D62" t="str">
            <v>Polc. H</v>
          </cell>
          <cell r="E62" t="str">
            <v>Karo</v>
          </cell>
          <cell r="F62">
            <v>0</v>
          </cell>
          <cell r="G62">
            <v>30</v>
          </cell>
          <cell r="H62">
            <v>27</v>
          </cell>
          <cell r="I62">
            <v>3</v>
          </cell>
          <cell r="J62">
            <v>-2</v>
          </cell>
          <cell r="K62">
            <v>4</v>
          </cell>
          <cell r="M62">
            <v>4</v>
          </cell>
          <cell r="N62">
            <v>31</v>
          </cell>
          <cell r="O62">
            <v>3</v>
          </cell>
          <cell r="P62">
            <v>30</v>
          </cell>
          <cell r="Q62">
            <v>1</v>
          </cell>
          <cell r="R62">
            <v>-2</v>
          </cell>
          <cell r="S62">
            <v>8500</v>
          </cell>
          <cell r="T62">
            <v>9500</v>
          </cell>
          <cell r="U62">
            <v>9500</v>
          </cell>
          <cell r="V62">
            <v>0</v>
          </cell>
          <cell r="W62">
            <v>0</v>
          </cell>
          <cell r="Y62">
            <v>7661.043010752689</v>
          </cell>
          <cell r="Z62">
            <v>7661.043010752689</v>
          </cell>
          <cell r="AA62">
            <v>17161.043010752688</v>
          </cell>
          <cell r="AC62">
            <v>17161.043010752688</v>
          </cell>
          <cell r="AD62">
            <v>17161</v>
          </cell>
          <cell r="AE62" t="str">
            <v>from karo on 17.05.2026</v>
          </cell>
          <cell r="AF62">
            <v>4.3010752688132925E-2</v>
          </cell>
        </row>
        <row r="63">
          <cell r="B63" t="str">
            <v>KARTIK MAHTO (Loha singh)</v>
          </cell>
          <cell r="C63" t="str">
            <v>new</v>
          </cell>
          <cell r="D63" t="str">
            <v>T/D</v>
          </cell>
          <cell r="E63" t="str">
            <v>Karo/tori/lal</v>
          </cell>
          <cell r="F63">
            <v>0</v>
          </cell>
          <cell r="G63">
            <v>30</v>
          </cell>
          <cell r="H63">
            <v>27</v>
          </cell>
          <cell r="I63">
            <v>3</v>
          </cell>
          <cell r="J63">
            <v>-3</v>
          </cell>
          <cell r="K63">
            <v>4</v>
          </cell>
          <cell r="M63">
            <v>4</v>
          </cell>
          <cell r="N63">
            <v>31</v>
          </cell>
          <cell r="O63">
            <v>3</v>
          </cell>
          <cell r="P63">
            <v>30</v>
          </cell>
          <cell r="Q63">
            <v>1</v>
          </cell>
          <cell r="R63">
            <v>-3</v>
          </cell>
          <cell r="S63">
            <v>14500</v>
          </cell>
          <cell r="T63">
            <v>16000</v>
          </cell>
          <cell r="U63">
            <v>16000.000000000002</v>
          </cell>
          <cell r="V63">
            <v>0</v>
          </cell>
          <cell r="W63">
            <v>0</v>
          </cell>
          <cell r="Y63">
            <v>14983.870967741939</v>
          </cell>
          <cell r="Z63">
            <v>14983.870967741939</v>
          </cell>
          <cell r="AA63">
            <v>30983.870967741939</v>
          </cell>
          <cell r="AC63">
            <v>30983.870967741939</v>
          </cell>
          <cell r="AD63">
            <v>31000</v>
          </cell>
          <cell r="AE63" t="str">
            <v>paid from lalpania on 18.05.2026</v>
          </cell>
          <cell r="AF63">
            <v>-16.129032258060761</v>
          </cell>
        </row>
        <row r="64">
          <cell r="B64" t="str">
            <v>KARTIK MAJEE</v>
          </cell>
          <cell r="C64" t="str">
            <v>new</v>
          </cell>
          <cell r="D64" t="str">
            <v>SURVEYOR</v>
          </cell>
          <cell r="E64">
            <v>0</v>
          </cell>
          <cell r="F64">
            <v>0</v>
          </cell>
          <cell r="G64">
            <v>30</v>
          </cell>
          <cell r="H64">
            <v>0</v>
          </cell>
          <cell r="I64">
            <v>30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P64">
            <v>0</v>
          </cell>
          <cell r="Q64">
            <v>0</v>
          </cell>
          <cell r="R64">
            <v>0</v>
          </cell>
          <cell r="S64">
            <v>17000</v>
          </cell>
          <cell r="T64">
            <v>17000</v>
          </cell>
          <cell r="U64">
            <v>0</v>
          </cell>
          <cell r="V64">
            <v>0</v>
          </cell>
          <cell r="W64">
            <v>0</v>
          </cell>
          <cell r="Y64">
            <v>5009.0967741935483</v>
          </cell>
          <cell r="Z64">
            <v>5009.0967741935483</v>
          </cell>
          <cell r="AA64">
            <v>5009.0967741935483</v>
          </cell>
          <cell r="AC64">
            <v>5009.0967741935483</v>
          </cell>
          <cell r="AD64">
            <v>0</v>
          </cell>
          <cell r="AE64">
            <v>0</v>
          </cell>
          <cell r="AF64">
            <v>5009.0967741935483</v>
          </cell>
        </row>
        <row r="65">
          <cell r="B65" t="str">
            <v>Kartik Soren</v>
          </cell>
          <cell r="C65" t="str">
            <v>new</v>
          </cell>
          <cell r="D65" t="str">
            <v>T/D</v>
          </cell>
          <cell r="E65">
            <v>0</v>
          </cell>
          <cell r="F65">
            <v>0</v>
          </cell>
          <cell r="G65">
            <v>30</v>
          </cell>
          <cell r="H65">
            <v>0</v>
          </cell>
          <cell r="I65">
            <v>30</v>
          </cell>
          <cell r="J65">
            <v>0</v>
          </cell>
          <cell r="K65">
            <v>0</v>
          </cell>
          <cell r="M65">
            <v>0</v>
          </cell>
          <cell r="N65">
            <v>0</v>
          </cell>
          <cell r="P65">
            <v>0</v>
          </cell>
          <cell r="Q65">
            <v>0</v>
          </cell>
          <cell r="R65">
            <v>0</v>
          </cell>
          <cell r="S65">
            <v>14500</v>
          </cell>
          <cell r="T65">
            <v>16000</v>
          </cell>
          <cell r="U65">
            <v>0</v>
          </cell>
          <cell r="V65">
            <v>0</v>
          </cell>
          <cell r="W65">
            <v>0</v>
          </cell>
          <cell r="Y65">
            <v>10667.282473118281</v>
          </cell>
          <cell r="Z65">
            <v>10667.282473118281</v>
          </cell>
          <cell r="AA65">
            <v>10667.282473118281</v>
          </cell>
          <cell r="AC65">
            <v>10667.282473118281</v>
          </cell>
          <cell r="AD65">
            <v>500</v>
          </cell>
          <cell r="AE65" t="str">
            <v>Paid from Tori on 16.05.2026</v>
          </cell>
          <cell r="AF65">
            <v>10167.282473118281</v>
          </cell>
        </row>
        <row r="66">
          <cell r="B66" t="str">
            <v>KAUSHLENDRA KR. PATHAK (Bablu pathak)</v>
          </cell>
          <cell r="C66" t="str">
            <v>old</v>
          </cell>
          <cell r="D66" t="str">
            <v>supervisor</v>
          </cell>
          <cell r="E66" t="str">
            <v>Lal</v>
          </cell>
          <cell r="F66">
            <v>0</v>
          </cell>
          <cell r="G66">
            <v>30</v>
          </cell>
          <cell r="H66">
            <v>26</v>
          </cell>
          <cell r="I66">
            <v>4</v>
          </cell>
          <cell r="J66">
            <v>2</v>
          </cell>
          <cell r="K66">
            <v>4</v>
          </cell>
          <cell r="M66">
            <v>6</v>
          </cell>
          <cell r="N66">
            <v>32</v>
          </cell>
          <cell r="P66">
            <v>30</v>
          </cell>
          <cell r="Q66">
            <v>2</v>
          </cell>
          <cell r="R66">
            <v>0</v>
          </cell>
          <cell r="S66">
            <v>12500</v>
          </cell>
          <cell r="T66">
            <v>14500</v>
          </cell>
          <cell r="U66">
            <v>14500</v>
          </cell>
          <cell r="V66">
            <v>0</v>
          </cell>
          <cell r="W66">
            <v>0</v>
          </cell>
          <cell r="Y66">
            <v>14480.645161290322</v>
          </cell>
          <cell r="Z66">
            <v>14480.645161290322</v>
          </cell>
          <cell r="AA66">
            <v>28980.645161290322</v>
          </cell>
          <cell r="AC66">
            <v>28980.645161290322</v>
          </cell>
          <cell r="AD66">
            <v>29200</v>
          </cell>
          <cell r="AE66" t="str">
            <v>from Lalpania on 13.05.2026, from lalpania on 18.05.2026</v>
          </cell>
          <cell r="AF66">
            <v>-219.35483870967801</v>
          </cell>
        </row>
        <row r="67">
          <cell r="B67" t="str">
            <v>Kesho Mahto</v>
          </cell>
          <cell r="C67" t="str">
            <v>new</v>
          </cell>
          <cell r="D67" t="str">
            <v>Polc.Op</v>
          </cell>
          <cell r="E67" t="str">
            <v>Karo</v>
          </cell>
          <cell r="F67">
            <v>0</v>
          </cell>
          <cell r="G67">
            <v>30</v>
          </cell>
          <cell r="H67">
            <v>17</v>
          </cell>
          <cell r="I67">
            <v>13</v>
          </cell>
          <cell r="J67">
            <v>2</v>
          </cell>
          <cell r="K67">
            <v>2</v>
          </cell>
          <cell r="M67">
            <v>4</v>
          </cell>
          <cell r="N67">
            <v>21</v>
          </cell>
          <cell r="O67">
            <v>4</v>
          </cell>
          <cell r="P67">
            <v>21</v>
          </cell>
          <cell r="Q67">
            <v>0</v>
          </cell>
          <cell r="R67">
            <v>0</v>
          </cell>
          <cell r="S67">
            <v>16000</v>
          </cell>
          <cell r="T67">
            <v>18000</v>
          </cell>
          <cell r="U67">
            <v>12600</v>
          </cell>
          <cell r="V67">
            <v>0</v>
          </cell>
          <cell r="W67">
            <v>0</v>
          </cell>
          <cell r="Y67">
            <v>3000</v>
          </cell>
          <cell r="Z67">
            <v>3000</v>
          </cell>
          <cell r="AA67">
            <v>15600</v>
          </cell>
          <cell r="AC67">
            <v>15600</v>
          </cell>
          <cell r="AD67">
            <v>15600</v>
          </cell>
          <cell r="AE67" t="str">
            <v>from karo on 17.05.2026</v>
          </cell>
          <cell r="AF67">
            <v>0</v>
          </cell>
        </row>
        <row r="68">
          <cell r="B68" t="str">
            <v>KHUDI RAM</v>
          </cell>
          <cell r="C68" t="str">
            <v>old</v>
          </cell>
          <cell r="D68" t="str">
            <v>COOK</v>
          </cell>
          <cell r="E68" t="str">
            <v>Lal</v>
          </cell>
          <cell r="F68">
            <v>0</v>
          </cell>
          <cell r="G68">
            <v>30</v>
          </cell>
          <cell r="H68">
            <v>29</v>
          </cell>
          <cell r="I68">
            <v>1</v>
          </cell>
          <cell r="J68">
            <v>8</v>
          </cell>
          <cell r="K68">
            <v>4</v>
          </cell>
          <cell r="M68">
            <v>12</v>
          </cell>
          <cell r="N68">
            <v>41</v>
          </cell>
          <cell r="P68">
            <v>30</v>
          </cell>
          <cell r="Q68">
            <v>11</v>
          </cell>
          <cell r="R68">
            <v>0</v>
          </cell>
          <cell r="S68">
            <v>12500</v>
          </cell>
          <cell r="T68">
            <v>13500</v>
          </cell>
          <cell r="U68">
            <v>13500</v>
          </cell>
          <cell r="V68">
            <v>46580</v>
          </cell>
          <cell r="W68">
            <v>46580</v>
          </cell>
          <cell r="Y68">
            <v>0</v>
          </cell>
          <cell r="Z68">
            <v>0</v>
          </cell>
          <cell r="AA68">
            <v>-33080</v>
          </cell>
          <cell r="AC68">
            <v>-33080</v>
          </cell>
          <cell r="AD68">
            <v>18000</v>
          </cell>
          <cell r="AE68" t="str">
            <v>paid from lalpania on 14.05.2026 paid from lalpania on 18.05.2026</v>
          </cell>
          <cell r="AF68">
            <v>-51080</v>
          </cell>
        </row>
        <row r="69">
          <cell r="B69" t="str">
            <v>KISHORE MAHTO</v>
          </cell>
          <cell r="C69" t="str">
            <v>old</v>
          </cell>
          <cell r="D69" t="str">
            <v>T/D</v>
          </cell>
          <cell r="E69" t="str">
            <v>Karo/Tori</v>
          </cell>
          <cell r="F69">
            <v>0</v>
          </cell>
          <cell r="G69">
            <v>30</v>
          </cell>
          <cell r="H69">
            <v>26</v>
          </cell>
          <cell r="I69">
            <v>4</v>
          </cell>
          <cell r="J69">
            <v>-9</v>
          </cell>
          <cell r="K69">
            <v>4</v>
          </cell>
          <cell r="M69">
            <v>4</v>
          </cell>
          <cell r="N69">
            <v>30</v>
          </cell>
          <cell r="O69">
            <v>4</v>
          </cell>
          <cell r="P69">
            <v>30</v>
          </cell>
          <cell r="Q69">
            <v>0</v>
          </cell>
          <cell r="R69">
            <v>-9</v>
          </cell>
          <cell r="S69">
            <v>14500</v>
          </cell>
          <cell r="T69">
            <v>16000</v>
          </cell>
          <cell r="U69">
            <v>16000.000000000002</v>
          </cell>
          <cell r="V69">
            <v>0</v>
          </cell>
          <cell r="W69">
            <v>0</v>
          </cell>
          <cell r="Y69">
            <v>14597.258064516129</v>
          </cell>
          <cell r="Z69">
            <v>14597.258064516129</v>
          </cell>
          <cell r="AA69">
            <v>30597.258064516129</v>
          </cell>
          <cell r="AC69">
            <v>30597.258064516129</v>
          </cell>
          <cell r="AD69">
            <v>40000</v>
          </cell>
          <cell r="AE69" t="str">
            <v>paid from lalpania on 23.05.2026</v>
          </cell>
          <cell r="AF69">
            <v>-9402.7419354838712</v>
          </cell>
        </row>
        <row r="70">
          <cell r="B70" t="str">
            <v>Krishna Munda</v>
          </cell>
          <cell r="C70" t="str">
            <v>new</v>
          </cell>
          <cell r="D70" t="str">
            <v>COOK</v>
          </cell>
          <cell r="E70">
            <v>0</v>
          </cell>
          <cell r="F70">
            <v>0</v>
          </cell>
          <cell r="G70">
            <v>30</v>
          </cell>
          <cell r="H70">
            <v>0</v>
          </cell>
          <cell r="I70">
            <v>30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S70">
            <v>11000</v>
          </cell>
          <cell r="T70">
            <v>12000</v>
          </cell>
          <cell r="U70">
            <v>0</v>
          </cell>
          <cell r="V70">
            <v>0.45161290322357672</v>
          </cell>
          <cell r="W70">
            <v>0.45161290322357672</v>
          </cell>
          <cell r="Y70">
            <v>0</v>
          </cell>
          <cell r="Z70">
            <v>0</v>
          </cell>
          <cell r="AA70">
            <v>-0.45161290322357672</v>
          </cell>
          <cell r="AC70">
            <v>-0.45161290322357672</v>
          </cell>
          <cell r="AD70">
            <v>0</v>
          </cell>
          <cell r="AE70">
            <v>0</v>
          </cell>
          <cell r="AF70">
            <v>-0.45161290322357672</v>
          </cell>
        </row>
        <row r="71">
          <cell r="B71" t="str">
            <v>Kuldeep Kr. Ray</v>
          </cell>
          <cell r="C71">
            <v>0</v>
          </cell>
          <cell r="D71" t="str">
            <v>Scorpio Driver</v>
          </cell>
          <cell r="E71" t="str">
            <v>Karo</v>
          </cell>
          <cell r="F71">
            <v>0</v>
          </cell>
          <cell r="G71">
            <v>30</v>
          </cell>
          <cell r="H71">
            <v>20</v>
          </cell>
          <cell r="I71">
            <v>10</v>
          </cell>
          <cell r="J71">
            <v>0</v>
          </cell>
          <cell r="K71">
            <v>3</v>
          </cell>
          <cell r="M71">
            <v>3</v>
          </cell>
          <cell r="N71">
            <v>23</v>
          </cell>
          <cell r="O71">
            <v>3</v>
          </cell>
          <cell r="P71">
            <v>23</v>
          </cell>
          <cell r="Q71">
            <v>0</v>
          </cell>
          <cell r="R71">
            <v>0</v>
          </cell>
          <cell r="S71">
            <v>10000</v>
          </cell>
          <cell r="T71">
            <v>11000</v>
          </cell>
          <cell r="U71">
            <v>8433.3333333333339</v>
          </cell>
          <cell r="V71">
            <v>0</v>
          </cell>
          <cell r="W71">
            <v>0</v>
          </cell>
          <cell r="Y71">
            <v>7096.2795698924674</v>
          </cell>
          <cell r="Z71">
            <v>7096.2795698924674</v>
          </cell>
          <cell r="AA71">
            <v>15529.612903225801</v>
          </cell>
          <cell r="AC71">
            <v>15529.612903225801</v>
          </cell>
          <cell r="AD71">
            <v>15530</v>
          </cell>
          <cell r="AE71" t="str">
            <v>from karo on 20.05.2026</v>
          </cell>
          <cell r="AF71">
            <v>-0.38709677419865329</v>
          </cell>
        </row>
        <row r="72">
          <cell r="B72" t="str">
            <v>Lalchand Rajak</v>
          </cell>
          <cell r="C72" t="str">
            <v>new</v>
          </cell>
          <cell r="D72" t="str">
            <v>T/D</v>
          </cell>
          <cell r="E72" t="str">
            <v>Karo</v>
          </cell>
          <cell r="F72">
            <v>0</v>
          </cell>
          <cell r="G72">
            <v>30</v>
          </cell>
          <cell r="H72">
            <v>23</v>
          </cell>
          <cell r="I72">
            <v>7</v>
          </cell>
          <cell r="J72">
            <v>1</v>
          </cell>
          <cell r="K72">
            <v>3</v>
          </cell>
          <cell r="M72">
            <v>4</v>
          </cell>
          <cell r="N72">
            <v>27</v>
          </cell>
          <cell r="O72">
            <v>4</v>
          </cell>
          <cell r="P72">
            <v>27</v>
          </cell>
          <cell r="Q72">
            <v>0</v>
          </cell>
          <cell r="R72">
            <v>0</v>
          </cell>
          <cell r="S72">
            <v>14500</v>
          </cell>
          <cell r="T72">
            <v>16000</v>
          </cell>
          <cell r="U72">
            <v>14400.000000000002</v>
          </cell>
          <cell r="V72">
            <v>14000.333333333332</v>
          </cell>
          <cell r="W72">
            <v>14000.333333333332</v>
          </cell>
          <cell r="Y72">
            <v>0</v>
          </cell>
          <cell r="Z72">
            <v>0</v>
          </cell>
          <cell r="AA72">
            <v>399.6666666666697</v>
          </cell>
          <cell r="AC72">
            <v>399.6666666666697</v>
          </cell>
          <cell r="AD72">
            <v>0</v>
          </cell>
          <cell r="AE72">
            <v>0</v>
          </cell>
          <cell r="AF72">
            <v>399.6666666666697</v>
          </cell>
        </row>
        <row r="73">
          <cell r="B73" t="str">
            <v>LALDHARI MAHTO</v>
          </cell>
          <cell r="C73" t="str">
            <v>new</v>
          </cell>
          <cell r="D73" t="str">
            <v>Polc.Op</v>
          </cell>
          <cell r="E73" t="str">
            <v>Lal</v>
          </cell>
          <cell r="F73">
            <v>0</v>
          </cell>
          <cell r="G73">
            <v>30</v>
          </cell>
          <cell r="H73">
            <v>30</v>
          </cell>
          <cell r="I73">
            <v>0</v>
          </cell>
          <cell r="J73">
            <v>1</v>
          </cell>
          <cell r="K73">
            <v>4</v>
          </cell>
          <cell r="M73">
            <v>5</v>
          </cell>
          <cell r="N73">
            <v>35</v>
          </cell>
          <cell r="P73">
            <v>30</v>
          </cell>
          <cell r="Q73">
            <v>5</v>
          </cell>
          <cell r="R73">
            <v>0</v>
          </cell>
          <cell r="S73">
            <v>15000</v>
          </cell>
          <cell r="T73">
            <v>17000</v>
          </cell>
          <cell r="U73">
            <v>17000</v>
          </cell>
          <cell r="V73">
            <v>0</v>
          </cell>
          <cell r="W73">
            <v>0</v>
          </cell>
          <cell r="Y73">
            <v>17000.333333333328</v>
          </cell>
          <cell r="Z73">
            <v>17000.333333333328</v>
          </cell>
          <cell r="AA73">
            <v>34000.333333333328</v>
          </cell>
          <cell r="AC73">
            <v>34000.333333333328</v>
          </cell>
          <cell r="AD73">
            <v>34000</v>
          </cell>
          <cell r="AE73" t="str">
            <v>from lalpania on 18.05.2026</v>
          </cell>
          <cell r="AF73">
            <v>0.33333333332848269</v>
          </cell>
        </row>
        <row r="74">
          <cell r="B74" t="str">
            <v>LALMANI YADAV (AJIT YADAV)</v>
          </cell>
          <cell r="C74" t="str">
            <v>old</v>
          </cell>
          <cell r="D74" t="str">
            <v>OP</v>
          </cell>
          <cell r="E74" t="str">
            <v>Lal</v>
          </cell>
          <cell r="F74">
            <v>0</v>
          </cell>
          <cell r="G74">
            <v>30</v>
          </cell>
          <cell r="H74">
            <v>26</v>
          </cell>
          <cell r="I74">
            <v>4</v>
          </cell>
          <cell r="J74">
            <v>7</v>
          </cell>
          <cell r="K74">
            <v>4</v>
          </cell>
          <cell r="M74">
            <v>11</v>
          </cell>
          <cell r="N74">
            <v>37</v>
          </cell>
          <cell r="P74">
            <v>30</v>
          </cell>
          <cell r="Q74">
            <v>7</v>
          </cell>
          <cell r="R74">
            <v>0</v>
          </cell>
          <cell r="S74">
            <v>18500</v>
          </cell>
          <cell r="T74">
            <v>20500</v>
          </cell>
          <cell r="U74">
            <v>20500</v>
          </cell>
          <cell r="V74">
            <v>0</v>
          </cell>
          <cell r="W74">
            <v>0</v>
          </cell>
          <cell r="Y74">
            <v>11580</v>
          </cell>
          <cell r="Z74">
            <v>11580</v>
          </cell>
          <cell r="AA74">
            <v>32080</v>
          </cell>
          <cell r="AC74">
            <v>32080</v>
          </cell>
          <cell r="AD74">
            <v>32100</v>
          </cell>
          <cell r="AE74" t="str">
            <v>paid from lalpania on 18.05.2026</v>
          </cell>
          <cell r="AF74">
            <v>-20</v>
          </cell>
        </row>
        <row r="75">
          <cell r="B75" t="str">
            <v>Lalu Yadav</v>
          </cell>
          <cell r="C75" t="str">
            <v>old</v>
          </cell>
          <cell r="D75" t="str">
            <v>Polc.Op</v>
          </cell>
          <cell r="E75" t="str">
            <v>Karo/tori</v>
          </cell>
          <cell r="F75">
            <v>0</v>
          </cell>
          <cell r="G75">
            <v>30</v>
          </cell>
          <cell r="H75">
            <v>30</v>
          </cell>
          <cell r="I75">
            <v>0</v>
          </cell>
          <cell r="J75">
            <v>-4</v>
          </cell>
          <cell r="K75">
            <v>4</v>
          </cell>
          <cell r="M75">
            <v>4</v>
          </cell>
          <cell r="N75">
            <v>34</v>
          </cell>
          <cell r="O75">
            <v>0</v>
          </cell>
          <cell r="P75">
            <v>30</v>
          </cell>
          <cell r="Q75">
            <v>4</v>
          </cell>
          <cell r="R75">
            <v>-4</v>
          </cell>
          <cell r="S75">
            <v>19000</v>
          </cell>
          <cell r="T75">
            <v>19500</v>
          </cell>
          <cell r="U75">
            <v>19500</v>
          </cell>
          <cell r="V75">
            <v>0</v>
          </cell>
          <cell r="W75">
            <v>0</v>
          </cell>
          <cell r="Y75">
            <v>0</v>
          </cell>
          <cell r="Z75">
            <v>0</v>
          </cell>
          <cell r="AA75">
            <v>19500</v>
          </cell>
          <cell r="AC75">
            <v>19500</v>
          </cell>
          <cell r="AD75">
            <v>19500</v>
          </cell>
          <cell r="AE75" t="str">
            <v>From K.E bank Account on 12.05.2026</v>
          </cell>
          <cell r="AF75">
            <v>0</v>
          </cell>
        </row>
        <row r="76">
          <cell r="B76" t="str">
            <v>LATE SURENDRA SINGH</v>
          </cell>
          <cell r="C76">
            <v>0</v>
          </cell>
          <cell r="D76" t="str">
            <v>T/D</v>
          </cell>
          <cell r="E76" t="str">
            <v>lal</v>
          </cell>
          <cell r="F76">
            <v>0</v>
          </cell>
          <cell r="G76">
            <v>30</v>
          </cell>
          <cell r="H76">
            <v>0</v>
          </cell>
          <cell r="I76">
            <v>30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P76">
            <v>0</v>
          </cell>
          <cell r="Q76">
            <v>0</v>
          </cell>
          <cell r="R76">
            <v>0</v>
          </cell>
          <cell r="S76">
            <v>5000</v>
          </cell>
          <cell r="T76">
            <v>5000</v>
          </cell>
          <cell r="U76">
            <v>0</v>
          </cell>
          <cell r="V76">
            <v>0</v>
          </cell>
          <cell r="W76">
            <v>0</v>
          </cell>
          <cell r="Y76">
            <v>25000</v>
          </cell>
          <cell r="Z76">
            <v>25000</v>
          </cell>
          <cell r="AA76">
            <v>25000</v>
          </cell>
          <cell r="AC76">
            <v>25000</v>
          </cell>
          <cell r="AD76">
            <v>0</v>
          </cell>
          <cell r="AE76">
            <v>0</v>
          </cell>
          <cell r="AF76">
            <v>25000</v>
          </cell>
        </row>
        <row r="77">
          <cell r="B77" t="str">
            <v>Mahadev Prajapati</v>
          </cell>
          <cell r="C77" t="str">
            <v>new</v>
          </cell>
          <cell r="D77" t="str">
            <v>COOK</v>
          </cell>
          <cell r="E77" t="str">
            <v>Karo</v>
          </cell>
          <cell r="F77">
            <v>0</v>
          </cell>
          <cell r="G77">
            <v>30</v>
          </cell>
          <cell r="H77">
            <v>27</v>
          </cell>
          <cell r="I77">
            <v>3</v>
          </cell>
          <cell r="J77">
            <v>0</v>
          </cell>
          <cell r="K77">
            <v>4</v>
          </cell>
          <cell r="M77">
            <v>4</v>
          </cell>
          <cell r="N77">
            <v>31</v>
          </cell>
          <cell r="O77">
            <v>3</v>
          </cell>
          <cell r="P77">
            <v>30</v>
          </cell>
          <cell r="Q77">
            <v>1</v>
          </cell>
          <cell r="R77">
            <v>0</v>
          </cell>
          <cell r="S77">
            <v>9000</v>
          </cell>
          <cell r="T77">
            <v>10000</v>
          </cell>
          <cell r="U77">
            <v>10000</v>
          </cell>
          <cell r="V77">
            <v>0</v>
          </cell>
          <cell r="W77">
            <v>0</v>
          </cell>
          <cell r="Y77">
            <v>10000</v>
          </cell>
          <cell r="Z77">
            <v>10000</v>
          </cell>
          <cell r="AA77">
            <v>20000</v>
          </cell>
          <cell r="AC77">
            <v>20000</v>
          </cell>
          <cell r="AD77">
            <v>20000</v>
          </cell>
          <cell r="AE77" t="str">
            <v>from karo on 17.05.2026</v>
          </cell>
          <cell r="AF77">
            <v>0</v>
          </cell>
        </row>
        <row r="78">
          <cell r="B78" t="str">
            <v>MAHESH YADAV</v>
          </cell>
          <cell r="C78" t="str">
            <v>new</v>
          </cell>
          <cell r="D78" t="str">
            <v>supervisor</v>
          </cell>
          <cell r="E78">
            <v>0</v>
          </cell>
          <cell r="F78">
            <v>0</v>
          </cell>
          <cell r="G78">
            <v>30</v>
          </cell>
          <cell r="H78">
            <v>0</v>
          </cell>
          <cell r="I78">
            <v>30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R78">
            <v>0</v>
          </cell>
          <cell r="S78">
            <v>10000</v>
          </cell>
          <cell r="T78">
            <v>10000</v>
          </cell>
          <cell r="U78">
            <v>0</v>
          </cell>
          <cell r="V78">
            <v>0</v>
          </cell>
          <cell r="W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B79" t="str">
            <v>Manju Devi</v>
          </cell>
          <cell r="C79" t="str">
            <v>new</v>
          </cell>
          <cell r="D79" t="str">
            <v>COOK</v>
          </cell>
          <cell r="E79" t="str">
            <v>Karo</v>
          </cell>
          <cell r="F79">
            <v>0</v>
          </cell>
          <cell r="G79">
            <v>30</v>
          </cell>
          <cell r="H79">
            <v>25</v>
          </cell>
          <cell r="I79">
            <v>5</v>
          </cell>
          <cell r="J79">
            <v>1</v>
          </cell>
          <cell r="K79">
            <v>4</v>
          </cell>
          <cell r="M79">
            <v>5</v>
          </cell>
          <cell r="N79">
            <v>30</v>
          </cell>
          <cell r="O79">
            <v>5</v>
          </cell>
          <cell r="P79">
            <v>30</v>
          </cell>
          <cell r="Q79">
            <v>0</v>
          </cell>
          <cell r="R79">
            <v>0</v>
          </cell>
          <cell r="S79">
            <v>7500</v>
          </cell>
          <cell r="T79">
            <v>8500</v>
          </cell>
          <cell r="U79">
            <v>8500</v>
          </cell>
          <cell r="V79">
            <v>0</v>
          </cell>
          <cell r="W79">
            <v>0</v>
          </cell>
          <cell r="Y79">
            <v>8500</v>
          </cell>
          <cell r="Z79">
            <v>8500</v>
          </cell>
          <cell r="AA79">
            <v>17000</v>
          </cell>
          <cell r="AC79">
            <v>17000</v>
          </cell>
          <cell r="AD79">
            <v>17000</v>
          </cell>
          <cell r="AE79" t="str">
            <v>from karo on 17.05.2026</v>
          </cell>
          <cell r="AF79">
            <v>0</v>
          </cell>
        </row>
        <row r="80">
          <cell r="B80" t="str">
            <v>MD SAMIRUDDIN ANSARI</v>
          </cell>
          <cell r="C80" t="str">
            <v>new</v>
          </cell>
          <cell r="D80" t="str">
            <v>supervisor</v>
          </cell>
          <cell r="E80" t="str">
            <v>konar/LAL</v>
          </cell>
          <cell r="F80">
            <v>0</v>
          </cell>
          <cell r="G80">
            <v>30</v>
          </cell>
          <cell r="H80">
            <v>29</v>
          </cell>
          <cell r="I80">
            <v>1</v>
          </cell>
          <cell r="J80">
            <v>6</v>
          </cell>
          <cell r="K80">
            <v>4</v>
          </cell>
          <cell r="M80">
            <v>10</v>
          </cell>
          <cell r="N80">
            <v>39</v>
          </cell>
          <cell r="O80">
            <v>1</v>
          </cell>
          <cell r="P80">
            <v>30</v>
          </cell>
          <cell r="Q80">
            <v>9</v>
          </cell>
          <cell r="R80">
            <v>0</v>
          </cell>
          <cell r="S80">
            <v>10000</v>
          </cell>
          <cell r="T80">
            <v>11000</v>
          </cell>
          <cell r="U80">
            <v>11000</v>
          </cell>
          <cell r="V80">
            <v>0</v>
          </cell>
          <cell r="W80">
            <v>0</v>
          </cell>
          <cell r="Y80">
            <v>7966.6666666666642</v>
          </cell>
          <cell r="Z80">
            <v>7966.6666666666642</v>
          </cell>
          <cell r="AA80">
            <v>18966.666666666664</v>
          </cell>
          <cell r="AC80">
            <v>18966.666666666664</v>
          </cell>
          <cell r="AD80">
            <v>19000</v>
          </cell>
          <cell r="AE80" t="str">
            <v>from K.E. on 22.05.2026</v>
          </cell>
          <cell r="AF80">
            <v>-33.333333333335759</v>
          </cell>
        </row>
        <row r="81">
          <cell r="B81" t="str">
            <v xml:space="preserve">Md. Tohid Ansari </v>
          </cell>
          <cell r="C81" t="str">
            <v>new</v>
          </cell>
          <cell r="D81" t="str">
            <v>Poclain Mechanic</v>
          </cell>
          <cell r="E81" t="str">
            <v>Karo</v>
          </cell>
          <cell r="F81">
            <v>0</v>
          </cell>
          <cell r="G81">
            <v>30</v>
          </cell>
          <cell r="H81">
            <v>22</v>
          </cell>
          <cell r="I81">
            <v>8</v>
          </cell>
          <cell r="J81">
            <v>-3</v>
          </cell>
          <cell r="K81">
            <v>3</v>
          </cell>
          <cell r="M81">
            <v>3</v>
          </cell>
          <cell r="N81">
            <v>25</v>
          </cell>
          <cell r="O81">
            <v>3</v>
          </cell>
          <cell r="P81">
            <v>25</v>
          </cell>
          <cell r="Q81">
            <v>0</v>
          </cell>
          <cell r="R81">
            <v>-3</v>
          </cell>
          <cell r="S81">
            <v>10000</v>
          </cell>
          <cell r="T81">
            <v>12000</v>
          </cell>
          <cell r="U81">
            <v>10000</v>
          </cell>
          <cell r="V81">
            <v>5888.7557603686673</v>
          </cell>
          <cell r="W81">
            <v>5888.7557603686673</v>
          </cell>
          <cell r="Y81">
            <v>0</v>
          </cell>
          <cell r="Z81">
            <v>0</v>
          </cell>
          <cell r="AA81">
            <v>4111.2442396313327</v>
          </cell>
          <cell r="AC81">
            <v>4111.2442396313327</v>
          </cell>
          <cell r="AD81">
            <v>25000</v>
          </cell>
          <cell r="AE81" t="str">
            <v>from karo on 19.05.2026</v>
          </cell>
          <cell r="AF81">
            <v>-20888.755760368666</v>
          </cell>
        </row>
        <row r="82">
          <cell r="B82" t="str">
            <v xml:space="preserve">MOHAN KR. MAHTO </v>
          </cell>
          <cell r="C82" t="str">
            <v>new</v>
          </cell>
          <cell r="D82" t="str">
            <v>Polc. H</v>
          </cell>
          <cell r="E82">
            <v>0</v>
          </cell>
          <cell r="F82">
            <v>0</v>
          </cell>
          <cell r="G82">
            <v>30</v>
          </cell>
          <cell r="H82">
            <v>0</v>
          </cell>
          <cell r="I82">
            <v>30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P82">
            <v>0</v>
          </cell>
          <cell r="Q82">
            <v>0</v>
          </cell>
          <cell r="R82">
            <v>0</v>
          </cell>
          <cell r="S82">
            <v>8500</v>
          </cell>
          <cell r="T82">
            <v>9500</v>
          </cell>
          <cell r="U82">
            <v>0</v>
          </cell>
          <cell r="V82">
            <v>3.2258064516129252</v>
          </cell>
          <cell r="W82">
            <v>3.2258064516129252</v>
          </cell>
          <cell r="Y82">
            <v>0</v>
          </cell>
          <cell r="Z82">
            <v>0</v>
          </cell>
          <cell r="AA82">
            <v>-3.2258064516129252</v>
          </cell>
          <cell r="AC82">
            <v>-3.2258064516129252</v>
          </cell>
          <cell r="AD82">
            <v>0</v>
          </cell>
          <cell r="AE82">
            <v>0</v>
          </cell>
          <cell r="AF82">
            <v>-3.2258064516129252</v>
          </cell>
        </row>
        <row r="83">
          <cell r="B83" t="str">
            <v>Mukesh Kerketta</v>
          </cell>
          <cell r="C83" t="str">
            <v>old</v>
          </cell>
          <cell r="D83" t="str">
            <v>T/D</v>
          </cell>
          <cell r="E83">
            <v>0</v>
          </cell>
          <cell r="F83">
            <v>0</v>
          </cell>
          <cell r="G83">
            <v>30</v>
          </cell>
          <cell r="H83">
            <v>0</v>
          </cell>
          <cell r="I83">
            <v>30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P83">
            <v>0</v>
          </cell>
          <cell r="Q83">
            <v>0</v>
          </cell>
          <cell r="R83">
            <v>0</v>
          </cell>
          <cell r="S83">
            <v>14500</v>
          </cell>
          <cell r="T83">
            <v>16000</v>
          </cell>
          <cell r="U83">
            <v>0</v>
          </cell>
          <cell r="V83">
            <v>0</v>
          </cell>
          <cell r="W83">
            <v>0</v>
          </cell>
          <cell r="Y83">
            <v>9181.2365591397793</v>
          </cell>
          <cell r="Z83">
            <v>9181.2365591397793</v>
          </cell>
          <cell r="AA83">
            <v>9181.2365591397793</v>
          </cell>
          <cell r="AC83">
            <v>9181.2365591397793</v>
          </cell>
          <cell r="AD83">
            <v>0</v>
          </cell>
          <cell r="AE83">
            <v>0</v>
          </cell>
          <cell r="AF83">
            <v>9181.2365591397793</v>
          </cell>
        </row>
        <row r="84">
          <cell r="B84" t="str">
            <v>MUKESH VERMA</v>
          </cell>
          <cell r="C84" t="str">
            <v>old</v>
          </cell>
          <cell r="D84" t="str">
            <v>supervisor</v>
          </cell>
          <cell r="E84">
            <v>0</v>
          </cell>
          <cell r="F84">
            <v>0</v>
          </cell>
          <cell r="G84">
            <v>30</v>
          </cell>
          <cell r="H84">
            <v>0</v>
          </cell>
          <cell r="I84">
            <v>30</v>
          </cell>
          <cell r="J84">
            <v>0</v>
          </cell>
          <cell r="K84">
            <v>0</v>
          </cell>
          <cell r="M84">
            <v>0</v>
          </cell>
          <cell r="N84">
            <v>0</v>
          </cell>
          <cell r="P84">
            <v>0</v>
          </cell>
          <cell r="Q84">
            <v>0</v>
          </cell>
          <cell r="R84">
            <v>0</v>
          </cell>
          <cell r="S84">
            <v>12000</v>
          </cell>
          <cell r="T84">
            <v>14000</v>
          </cell>
          <cell r="U84">
            <v>0</v>
          </cell>
          <cell r="V84">
            <v>0</v>
          </cell>
          <cell r="W84">
            <v>0</v>
          </cell>
          <cell r="Y84">
            <v>0</v>
          </cell>
          <cell r="Z84">
            <v>0</v>
          </cell>
          <cell r="AA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B85" t="str">
            <v>Nand Kishor Singh</v>
          </cell>
          <cell r="C85" t="str">
            <v>new</v>
          </cell>
          <cell r="D85" t="str">
            <v>T/D</v>
          </cell>
          <cell r="E85" t="str">
            <v>Karo</v>
          </cell>
          <cell r="F85">
            <v>0</v>
          </cell>
          <cell r="G85">
            <v>30</v>
          </cell>
          <cell r="H85">
            <v>0</v>
          </cell>
          <cell r="I85">
            <v>30</v>
          </cell>
          <cell r="J85">
            <v>3</v>
          </cell>
          <cell r="K85">
            <v>0</v>
          </cell>
          <cell r="M85">
            <v>3</v>
          </cell>
          <cell r="N85">
            <v>3</v>
          </cell>
          <cell r="O85">
            <v>3</v>
          </cell>
          <cell r="P85">
            <v>3</v>
          </cell>
          <cell r="Q85">
            <v>3</v>
          </cell>
          <cell r="R85">
            <v>0</v>
          </cell>
          <cell r="S85">
            <v>14500</v>
          </cell>
          <cell r="T85">
            <v>16000</v>
          </cell>
          <cell r="U85">
            <v>1600</v>
          </cell>
          <cell r="V85">
            <v>0</v>
          </cell>
          <cell r="W85">
            <v>0</v>
          </cell>
          <cell r="Y85">
            <v>1016.9377419354862</v>
          </cell>
          <cell r="Z85">
            <v>1016.9377419354862</v>
          </cell>
          <cell r="AA85">
            <v>2616.937741935486</v>
          </cell>
          <cell r="AC85">
            <v>2616.937741935486</v>
          </cell>
          <cell r="AD85">
            <v>2617</v>
          </cell>
          <cell r="AE85" t="str">
            <v>from karo on 18.05.2026</v>
          </cell>
          <cell r="AF85">
            <v>-6.2258064514026046E-2</v>
          </cell>
        </row>
        <row r="86">
          <cell r="B86" t="str">
            <v xml:space="preserve">Nandlal Boxi </v>
          </cell>
          <cell r="C86" t="str">
            <v>new</v>
          </cell>
          <cell r="D86" t="str">
            <v>Mess Incharge</v>
          </cell>
          <cell r="E86" t="str">
            <v>Karo</v>
          </cell>
          <cell r="F86">
            <v>0</v>
          </cell>
          <cell r="G86">
            <v>30</v>
          </cell>
          <cell r="H86">
            <v>30</v>
          </cell>
          <cell r="I86">
            <v>0</v>
          </cell>
          <cell r="J86">
            <v>-2.5</v>
          </cell>
          <cell r="K86">
            <v>4</v>
          </cell>
          <cell r="M86">
            <v>4</v>
          </cell>
          <cell r="N86">
            <v>34</v>
          </cell>
          <cell r="O86">
            <v>0</v>
          </cell>
          <cell r="P86">
            <v>30</v>
          </cell>
          <cell r="Q86">
            <v>4</v>
          </cell>
          <cell r="R86">
            <v>-2.5</v>
          </cell>
          <cell r="S86">
            <v>8000</v>
          </cell>
          <cell r="T86">
            <v>9000</v>
          </cell>
          <cell r="U86">
            <v>9000</v>
          </cell>
          <cell r="V86">
            <v>0</v>
          </cell>
          <cell r="W86">
            <v>0</v>
          </cell>
          <cell r="Y86">
            <v>8998</v>
          </cell>
          <cell r="Z86">
            <v>8998</v>
          </cell>
          <cell r="AA86">
            <v>17998</v>
          </cell>
          <cell r="AC86">
            <v>17998</v>
          </cell>
          <cell r="AD86">
            <v>18000</v>
          </cell>
          <cell r="AE86" t="str">
            <v>from karo on 17.05.2026</v>
          </cell>
          <cell r="AF86">
            <v>-2</v>
          </cell>
        </row>
        <row r="87">
          <cell r="B87" t="str">
            <v>NARAYAN MAHTO (NG)</v>
          </cell>
          <cell r="C87" t="str">
            <v>new</v>
          </cell>
          <cell r="D87" t="str">
            <v>N/G</v>
          </cell>
          <cell r="E87" t="str">
            <v>Karo</v>
          </cell>
          <cell r="F87">
            <v>0</v>
          </cell>
          <cell r="G87">
            <v>30</v>
          </cell>
          <cell r="H87">
            <v>27</v>
          </cell>
          <cell r="I87">
            <v>3</v>
          </cell>
          <cell r="J87">
            <v>0</v>
          </cell>
          <cell r="K87">
            <v>0</v>
          </cell>
          <cell r="M87">
            <v>0</v>
          </cell>
          <cell r="N87">
            <v>27</v>
          </cell>
          <cell r="O87">
            <v>0</v>
          </cell>
          <cell r="P87">
            <v>27</v>
          </cell>
          <cell r="Q87">
            <v>0</v>
          </cell>
          <cell r="R87">
            <v>0</v>
          </cell>
          <cell r="S87">
            <v>8000</v>
          </cell>
          <cell r="T87">
            <v>9000</v>
          </cell>
          <cell r="U87">
            <v>8100</v>
          </cell>
          <cell r="V87">
            <v>0</v>
          </cell>
          <cell r="W87">
            <v>0</v>
          </cell>
          <cell r="Y87">
            <v>4419.42866359447</v>
          </cell>
          <cell r="Z87">
            <v>4419.42866359447</v>
          </cell>
          <cell r="AA87">
            <v>12519.42866359447</v>
          </cell>
          <cell r="AC87">
            <v>12519.42866359447</v>
          </cell>
          <cell r="AD87">
            <v>12520</v>
          </cell>
          <cell r="AE87" t="str">
            <v>from karo on 17.05.2026</v>
          </cell>
          <cell r="AF87">
            <v>-0.57133640553001896</v>
          </cell>
        </row>
        <row r="88">
          <cell r="B88" t="str">
            <v>NARAYAN YADAV</v>
          </cell>
          <cell r="C88" t="str">
            <v>new</v>
          </cell>
          <cell r="D88" t="str">
            <v>OP</v>
          </cell>
          <cell r="E88">
            <v>0</v>
          </cell>
          <cell r="F88">
            <v>0</v>
          </cell>
          <cell r="G88">
            <v>30</v>
          </cell>
          <cell r="H88">
            <v>0</v>
          </cell>
          <cell r="I88">
            <v>30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P88">
            <v>0</v>
          </cell>
          <cell r="Q88">
            <v>0</v>
          </cell>
          <cell r="R88">
            <v>0</v>
          </cell>
          <cell r="S88">
            <v>15000</v>
          </cell>
          <cell r="T88">
            <v>15000</v>
          </cell>
          <cell r="U88">
            <v>0</v>
          </cell>
          <cell r="V88">
            <v>0</v>
          </cell>
          <cell r="W88">
            <v>0</v>
          </cell>
          <cell r="Y88">
            <v>0</v>
          </cell>
          <cell r="Z88">
            <v>0</v>
          </cell>
          <cell r="AA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</row>
        <row r="89">
          <cell r="B89" t="str">
            <v>NARESH KISKU</v>
          </cell>
          <cell r="C89" t="str">
            <v>new</v>
          </cell>
          <cell r="D89" t="str">
            <v>W/T-H</v>
          </cell>
          <cell r="E89" t="str">
            <v>lal</v>
          </cell>
          <cell r="F89">
            <v>0</v>
          </cell>
          <cell r="G89">
            <v>30</v>
          </cell>
          <cell r="H89">
            <v>28</v>
          </cell>
          <cell r="I89">
            <v>2</v>
          </cell>
          <cell r="J89">
            <v>1</v>
          </cell>
          <cell r="K89">
            <v>4</v>
          </cell>
          <cell r="M89">
            <v>5</v>
          </cell>
          <cell r="N89">
            <v>33</v>
          </cell>
          <cell r="P89">
            <v>30</v>
          </cell>
          <cell r="Q89">
            <v>3</v>
          </cell>
          <cell r="R89">
            <v>0</v>
          </cell>
          <cell r="S89">
            <v>8500</v>
          </cell>
          <cell r="T89">
            <v>9500</v>
          </cell>
          <cell r="U89">
            <v>9500</v>
          </cell>
          <cell r="V89">
            <v>0</v>
          </cell>
          <cell r="W89">
            <v>0</v>
          </cell>
          <cell r="Y89">
            <v>9461.290322580644</v>
          </cell>
          <cell r="Z89">
            <v>9461.290322580644</v>
          </cell>
          <cell r="AA89">
            <v>18961.290322580644</v>
          </cell>
          <cell r="AC89">
            <v>18961.290322580644</v>
          </cell>
          <cell r="AD89">
            <v>19000</v>
          </cell>
          <cell r="AE89" t="str">
            <v>paid from lalpania on 18.05.2026</v>
          </cell>
          <cell r="AF89">
            <v>-38.709677419356012</v>
          </cell>
        </row>
        <row r="90">
          <cell r="B90" t="str">
            <v>NARESH TURI</v>
          </cell>
          <cell r="C90" t="str">
            <v>new</v>
          </cell>
          <cell r="D90" t="str">
            <v>T/D</v>
          </cell>
          <cell r="E90" t="str">
            <v>Lal</v>
          </cell>
          <cell r="F90">
            <v>0</v>
          </cell>
          <cell r="G90">
            <v>30</v>
          </cell>
          <cell r="H90">
            <v>10</v>
          </cell>
          <cell r="I90">
            <v>20</v>
          </cell>
          <cell r="J90">
            <v>2</v>
          </cell>
          <cell r="K90">
            <v>1</v>
          </cell>
          <cell r="L90">
            <v>1</v>
          </cell>
          <cell r="M90">
            <v>4</v>
          </cell>
          <cell r="N90">
            <v>14</v>
          </cell>
          <cell r="P90">
            <v>14</v>
          </cell>
          <cell r="Q90">
            <v>0</v>
          </cell>
          <cell r="R90">
            <v>-1</v>
          </cell>
          <cell r="S90">
            <v>14500</v>
          </cell>
          <cell r="T90">
            <v>16000</v>
          </cell>
          <cell r="U90">
            <v>7466.666666666667</v>
          </cell>
          <cell r="V90">
            <v>29000</v>
          </cell>
          <cell r="W90">
            <v>29000</v>
          </cell>
          <cell r="Y90">
            <v>0</v>
          </cell>
          <cell r="Z90">
            <v>0</v>
          </cell>
          <cell r="AA90">
            <v>-21533.333333333332</v>
          </cell>
          <cell r="AC90">
            <v>-21533.333333333332</v>
          </cell>
          <cell r="AD90">
            <v>11000</v>
          </cell>
          <cell r="AE90" t="str">
            <v>paid from lalpania on 18.05.2026</v>
          </cell>
          <cell r="AF90">
            <v>-32533.333333333332</v>
          </cell>
        </row>
        <row r="91">
          <cell r="B91" t="str">
            <v>NARESH YADAV</v>
          </cell>
          <cell r="C91" t="str">
            <v>old</v>
          </cell>
          <cell r="D91" t="str">
            <v>OP</v>
          </cell>
          <cell r="E91" t="str">
            <v>Lal</v>
          </cell>
          <cell r="F91">
            <v>0</v>
          </cell>
          <cell r="G91">
            <v>30</v>
          </cell>
          <cell r="H91">
            <v>30</v>
          </cell>
          <cell r="I91">
            <v>0</v>
          </cell>
          <cell r="J91">
            <v>12</v>
          </cell>
          <cell r="K91">
            <v>4</v>
          </cell>
          <cell r="M91">
            <v>16</v>
          </cell>
          <cell r="N91">
            <v>46</v>
          </cell>
          <cell r="P91">
            <v>30</v>
          </cell>
          <cell r="Q91">
            <v>16</v>
          </cell>
          <cell r="R91">
            <v>0</v>
          </cell>
          <cell r="S91">
            <v>17500</v>
          </cell>
          <cell r="T91">
            <v>19500</v>
          </cell>
          <cell r="U91">
            <v>19500</v>
          </cell>
          <cell r="V91">
            <v>0</v>
          </cell>
          <cell r="W91">
            <v>0</v>
          </cell>
          <cell r="Y91">
            <v>14220</v>
          </cell>
          <cell r="Z91">
            <v>14220</v>
          </cell>
          <cell r="AA91">
            <v>33720</v>
          </cell>
          <cell r="AC91">
            <v>33720</v>
          </cell>
          <cell r="AD91">
            <v>33720</v>
          </cell>
          <cell r="AE91" t="str">
            <v>paid from lalpania on 18.05.2026</v>
          </cell>
          <cell r="AF91">
            <v>0</v>
          </cell>
        </row>
        <row r="92">
          <cell r="B92" t="str">
            <v>NITIN KR. HEMBROM</v>
          </cell>
          <cell r="C92" t="str">
            <v>new</v>
          </cell>
          <cell r="D92" t="str">
            <v>H</v>
          </cell>
          <cell r="E92">
            <v>0</v>
          </cell>
          <cell r="F92">
            <v>0</v>
          </cell>
          <cell r="G92">
            <v>30</v>
          </cell>
          <cell r="H92">
            <v>0</v>
          </cell>
          <cell r="I92">
            <v>30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8500</v>
          </cell>
          <cell r="T92">
            <v>9500</v>
          </cell>
          <cell r="U92">
            <v>0</v>
          </cell>
          <cell r="V92">
            <v>0</v>
          </cell>
          <cell r="W92">
            <v>0</v>
          </cell>
          <cell r="Y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B93" t="str">
            <v>NITISH KUMAR (MAHTO)</v>
          </cell>
          <cell r="C93" t="str">
            <v>old</v>
          </cell>
          <cell r="D93" t="str">
            <v>ENGG.</v>
          </cell>
          <cell r="E93" t="str">
            <v>Tori</v>
          </cell>
          <cell r="F93">
            <v>0</v>
          </cell>
          <cell r="G93">
            <v>30</v>
          </cell>
          <cell r="H93">
            <v>19</v>
          </cell>
          <cell r="I93">
            <v>11</v>
          </cell>
          <cell r="J93">
            <v>-2</v>
          </cell>
          <cell r="K93">
            <v>2</v>
          </cell>
          <cell r="L93">
            <v>9</v>
          </cell>
          <cell r="M93">
            <v>11</v>
          </cell>
          <cell r="N93">
            <v>30</v>
          </cell>
          <cell r="P93">
            <v>30</v>
          </cell>
          <cell r="Q93">
            <v>0</v>
          </cell>
          <cell r="R93">
            <v>-11</v>
          </cell>
          <cell r="S93">
            <v>20000</v>
          </cell>
          <cell r="T93">
            <v>22000</v>
          </cell>
          <cell r="U93">
            <v>22000</v>
          </cell>
          <cell r="V93">
            <v>24500</v>
          </cell>
          <cell r="W93">
            <v>24500</v>
          </cell>
          <cell r="Y93">
            <v>0</v>
          </cell>
          <cell r="Z93">
            <v>0</v>
          </cell>
          <cell r="AA93">
            <v>-2500</v>
          </cell>
          <cell r="AC93">
            <v>-2500</v>
          </cell>
          <cell r="AD93">
            <v>25000</v>
          </cell>
          <cell r="AE93" t="str">
            <v>From K.E on 04.05.2026</v>
          </cell>
          <cell r="AF93">
            <v>-27500</v>
          </cell>
        </row>
        <row r="94">
          <cell r="B94" t="str">
            <v>PANCHANAND MAHTO</v>
          </cell>
          <cell r="C94" t="str">
            <v>old</v>
          </cell>
          <cell r="D94" t="str">
            <v>SR. SUP</v>
          </cell>
          <cell r="E94" t="str">
            <v>lal</v>
          </cell>
          <cell r="F94">
            <v>0</v>
          </cell>
          <cell r="G94">
            <v>30</v>
          </cell>
          <cell r="H94">
            <v>25</v>
          </cell>
          <cell r="I94">
            <v>5</v>
          </cell>
          <cell r="J94">
            <v>7</v>
          </cell>
          <cell r="K94">
            <v>4</v>
          </cell>
          <cell r="M94">
            <v>11</v>
          </cell>
          <cell r="N94">
            <v>36</v>
          </cell>
          <cell r="P94">
            <v>30</v>
          </cell>
          <cell r="Q94">
            <v>6</v>
          </cell>
          <cell r="R94">
            <v>0</v>
          </cell>
          <cell r="S94">
            <v>18000</v>
          </cell>
          <cell r="T94">
            <v>20000</v>
          </cell>
          <cell r="U94">
            <v>20000</v>
          </cell>
          <cell r="V94">
            <v>0</v>
          </cell>
          <cell r="W94">
            <v>0</v>
          </cell>
          <cell r="Y94">
            <v>20000</v>
          </cell>
          <cell r="Z94">
            <v>20000</v>
          </cell>
          <cell r="AA94">
            <v>40000</v>
          </cell>
          <cell r="AC94">
            <v>40000</v>
          </cell>
          <cell r="AD94">
            <v>40000</v>
          </cell>
          <cell r="AE94" t="str">
            <v>paid from lalpania on 18.05.2026</v>
          </cell>
          <cell r="AF94">
            <v>0</v>
          </cell>
        </row>
        <row r="95">
          <cell r="B95" t="str">
            <v>PINTU NAPIT</v>
          </cell>
          <cell r="C95" t="str">
            <v>new</v>
          </cell>
          <cell r="D95" t="str">
            <v>H</v>
          </cell>
          <cell r="E95" t="str">
            <v>lal</v>
          </cell>
          <cell r="F95">
            <v>0</v>
          </cell>
          <cell r="G95">
            <v>30</v>
          </cell>
          <cell r="H95">
            <v>28</v>
          </cell>
          <cell r="I95">
            <v>2</v>
          </cell>
          <cell r="J95">
            <v>6</v>
          </cell>
          <cell r="K95">
            <v>4</v>
          </cell>
          <cell r="M95">
            <v>10</v>
          </cell>
          <cell r="N95">
            <v>38</v>
          </cell>
          <cell r="P95">
            <v>30</v>
          </cell>
          <cell r="Q95">
            <v>8</v>
          </cell>
          <cell r="R95">
            <v>0</v>
          </cell>
          <cell r="S95">
            <v>8500</v>
          </cell>
          <cell r="T95">
            <v>9500</v>
          </cell>
          <cell r="U95">
            <v>9500</v>
          </cell>
          <cell r="V95">
            <v>0</v>
          </cell>
          <cell r="W95">
            <v>0</v>
          </cell>
          <cell r="Y95">
            <v>9490.8602150537627</v>
          </cell>
          <cell r="Z95">
            <v>9490.8602150537627</v>
          </cell>
          <cell r="AA95">
            <v>18990.860215053763</v>
          </cell>
          <cell r="AC95">
            <v>18990.860215053763</v>
          </cell>
          <cell r="AD95">
            <v>18991</v>
          </cell>
          <cell r="AE95" t="str">
            <v>From K.E. Paytm on 22.05.2026</v>
          </cell>
          <cell r="AF95">
            <v>-0.1397849462373415</v>
          </cell>
        </row>
        <row r="96">
          <cell r="B96" t="str">
            <v>Piyush Digar</v>
          </cell>
          <cell r="C96" t="str">
            <v>NEW</v>
          </cell>
          <cell r="D96" t="str">
            <v>D.H</v>
          </cell>
          <cell r="E96" t="str">
            <v>Karo</v>
          </cell>
          <cell r="F96">
            <v>0</v>
          </cell>
          <cell r="G96">
            <v>30</v>
          </cell>
          <cell r="H96">
            <v>25</v>
          </cell>
          <cell r="I96">
            <v>5</v>
          </cell>
          <cell r="J96">
            <v>-3</v>
          </cell>
          <cell r="K96">
            <v>4</v>
          </cell>
          <cell r="M96">
            <v>4</v>
          </cell>
          <cell r="N96">
            <v>29</v>
          </cell>
          <cell r="O96">
            <v>4</v>
          </cell>
          <cell r="P96">
            <v>29</v>
          </cell>
          <cell r="Q96">
            <v>0</v>
          </cell>
          <cell r="R96">
            <v>-3</v>
          </cell>
          <cell r="S96">
            <v>8500</v>
          </cell>
          <cell r="T96">
            <v>9500</v>
          </cell>
          <cell r="U96">
            <v>9183.3333333333339</v>
          </cell>
          <cell r="V96">
            <v>0</v>
          </cell>
          <cell r="W96">
            <v>0</v>
          </cell>
          <cell r="Y96">
            <v>8581.9615975422385</v>
          </cell>
          <cell r="Z96">
            <v>8581.9615975422385</v>
          </cell>
          <cell r="AA96">
            <v>17765.294930875571</v>
          </cell>
          <cell r="AC96">
            <v>17765.294930875571</v>
          </cell>
          <cell r="AD96">
            <v>17766</v>
          </cell>
          <cell r="AE96" t="str">
            <v>from karo on 17.05.2026</v>
          </cell>
          <cell r="AF96">
            <v>-0.70506912442942848</v>
          </cell>
        </row>
        <row r="97">
          <cell r="B97" t="str">
            <v>PRAKASH CHOUDHRI</v>
          </cell>
          <cell r="C97" t="str">
            <v>new</v>
          </cell>
          <cell r="D97" t="str">
            <v>T/D</v>
          </cell>
          <cell r="E97">
            <v>0</v>
          </cell>
          <cell r="F97">
            <v>0</v>
          </cell>
          <cell r="G97">
            <v>30</v>
          </cell>
          <cell r="H97">
            <v>0</v>
          </cell>
          <cell r="I97">
            <v>30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S97">
            <v>14500</v>
          </cell>
          <cell r="T97">
            <v>16000</v>
          </cell>
          <cell r="U97">
            <v>0</v>
          </cell>
          <cell r="V97">
            <v>0</v>
          </cell>
          <cell r="W97">
            <v>0</v>
          </cell>
          <cell r="Y97">
            <v>8419.1290322580644</v>
          </cell>
          <cell r="Z97">
            <v>8419.1290322580644</v>
          </cell>
          <cell r="AA97">
            <v>8419.1290322580644</v>
          </cell>
          <cell r="AC97">
            <v>8419.1290322580644</v>
          </cell>
          <cell r="AD97">
            <v>0</v>
          </cell>
          <cell r="AE97">
            <v>0</v>
          </cell>
          <cell r="AF97">
            <v>8419.1290322580644</v>
          </cell>
        </row>
        <row r="98">
          <cell r="B98" t="str">
            <v>Prakash Kr. Mahto</v>
          </cell>
          <cell r="C98" t="str">
            <v>new</v>
          </cell>
          <cell r="D98" t="str">
            <v>CAMPER D.</v>
          </cell>
          <cell r="E98" t="str">
            <v>Karo</v>
          </cell>
          <cell r="F98">
            <v>0</v>
          </cell>
          <cell r="G98">
            <v>30</v>
          </cell>
          <cell r="H98">
            <v>10</v>
          </cell>
          <cell r="I98">
            <v>20</v>
          </cell>
          <cell r="J98">
            <v>0.5</v>
          </cell>
          <cell r="K98">
            <v>1</v>
          </cell>
          <cell r="L98">
            <v>0.5</v>
          </cell>
          <cell r="M98">
            <v>2</v>
          </cell>
          <cell r="N98">
            <v>12</v>
          </cell>
          <cell r="O98">
            <v>2</v>
          </cell>
          <cell r="P98">
            <v>12</v>
          </cell>
          <cell r="Q98">
            <v>0</v>
          </cell>
          <cell r="R98">
            <v>-0.5</v>
          </cell>
          <cell r="S98">
            <v>8500</v>
          </cell>
          <cell r="T98">
            <v>10000</v>
          </cell>
          <cell r="U98">
            <v>4000</v>
          </cell>
          <cell r="V98">
            <v>0</v>
          </cell>
          <cell r="W98">
            <v>0</v>
          </cell>
          <cell r="Y98">
            <v>9997.6790322580637</v>
          </cell>
          <cell r="Z98">
            <v>9997.6790322580637</v>
          </cell>
          <cell r="AA98">
            <v>13997.679032258064</v>
          </cell>
          <cell r="AC98">
            <v>13997.679032258064</v>
          </cell>
          <cell r="AD98">
            <v>14000</v>
          </cell>
          <cell r="AE98" t="str">
            <v>from karo on 17.05.2026</v>
          </cell>
          <cell r="AF98">
            <v>-2.3209677419363288</v>
          </cell>
        </row>
        <row r="99">
          <cell r="B99" t="str">
            <v>PRAKASH MAHTO</v>
          </cell>
          <cell r="C99" t="str">
            <v>new</v>
          </cell>
          <cell r="D99" t="str">
            <v>T/D</v>
          </cell>
          <cell r="E99">
            <v>0</v>
          </cell>
          <cell r="F99">
            <v>0</v>
          </cell>
          <cell r="G99">
            <v>30</v>
          </cell>
          <cell r="H99">
            <v>0</v>
          </cell>
          <cell r="I99">
            <v>30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  <cell r="P99">
            <v>0</v>
          </cell>
          <cell r="Q99">
            <v>0</v>
          </cell>
          <cell r="R99">
            <v>0</v>
          </cell>
          <cell r="S99">
            <v>14500</v>
          </cell>
          <cell r="T99">
            <v>16000</v>
          </cell>
          <cell r="U99">
            <v>0</v>
          </cell>
          <cell r="V99">
            <v>0</v>
          </cell>
          <cell r="W99">
            <v>0</v>
          </cell>
          <cell r="Y99">
            <v>0</v>
          </cell>
          <cell r="Z99">
            <v>0</v>
          </cell>
          <cell r="AA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B100" t="str">
            <v>PRAKASH RAJAK</v>
          </cell>
          <cell r="C100" t="str">
            <v>new</v>
          </cell>
          <cell r="D100" t="str">
            <v>N/G</v>
          </cell>
          <cell r="E100">
            <v>0</v>
          </cell>
          <cell r="F100">
            <v>0</v>
          </cell>
          <cell r="G100">
            <v>30</v>
          </cell>
          <cell r="H100">
            <v>0</v>
          </cell>
          <cell r="I100">
            <v>30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8000</v>
          </cell>
          <cell r="T100">
            <v>9000</v>
          </cell>
          <cell r="U100">
            <v>0</v>
          </cell>
          <cell r="V100">
            <v>0</v>
          </cell>
          <cell r="W100">
            <v>0</v>
          </cell>
          <cell r="Y100">
            <v>0</v>
          </cell>
          <cell r="Z100">
            <v>0</v>
          </cell>
          <cell r="AA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B101" t="str">
            <v>PRAKASH TUDU</v>
          </cell>
          <cell r="C101" t="str">
            <v>NEW</v>
          </cell>
          <cell r="D101" t="str">
            <v>T/H</v>
          </cell>
          <cell r="E101">
            <v>0</v>
          </cell>
          <cell r="F101">
            <v>0</v>
          </cell>
          <cell r="G101">
            <v>30</v>
          </cell>
          <cell r="H101">
            <v>0</v>
          </cell>
          <cell r="I101">
            <v>30</v>
          </cell>
          <cell r="J101">
            <v>0</v>
          </cell>
          <cell r="K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8000</v>
          </cell>
          <cell r="T101">
            <v>9000</v>
          </cell>
          <cell r="U101">
            <v>0</v>
          </cell>
          <cell r="V101">
            <v>0</v>
          </cell>
          <cell r="W101">
            <v>0</v>
          </cell>
          <cell r="Y101">
            <v>0</v>
          </cell>
          <cell r="Z101">
            <v>0</v>
          </cell>
          <cell r="AA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B102" t="str">
            <v>PRAMILL MARANDI</v>
          </cell>
          <cell r="C102" t="str">
            <v>new</v>
          </cell>
          <cell r="D102" t="str">
            <v>F.H</v>
          </cell>
          <cell r="E102" t="str">
            <v>Karo</v>
          </cell>
          <cell r="F102">
            <v>0</v>
          </cell>
          <cell r="G102">
            <v>30</v>
          </cell>
          <cell r="H102">
            <v>26</v>
          </cell>
          <cell r="I102">
            <v>4</v>
          </cell>
          <cell r="J102">
            <v>0</v>
          </cell>
          <cell r="K102">
            <v>4</v>
          </cell>
          <cell r="M102">
            <v>4</v>
          </cell>
          <cell r="N102">
            <v>30</v>
          </cell>
          <cell r="O102">
            <v>4</v>
          </cell>
          <cell r="P102">
            <v>30</v>
          </cell>
          <cell r="Q102">
            <v>0</v>
          </cell>
          <cell r="R102">
            <v>0</v>
          </cell>
          <cell r="S102">
            <v>8500</v>
          </cell>
          <cell r="T102">
            <v>10500</v>
          </cell>
          <cell r="U102">
            <v>10500</v>
          </cell>
          <cell r="V102">
            <v>0</v>
          </cell>
          <cell r="W102">
            <v>0</v>
          </cell>
          <cell r="Y102">
            <v>10499.956989247308</v>
          </cell>
          <cell r="Z102">
            <v>10499.956989247308</v>
          </cell>
          <cell r="AA102">
            <v>20999.956989247308</v>
          </cell>
          <cell r="AC102">
            <v>20999.956989247308</v>
          </cell>
          <cell r="AD102">
            <v>21000</v>
          </cell>
          <cell r="AE102" t="str">
            <v>from karo on 15.05.2026, from karo on 17.05.2026</v>
          </cell>
          <cell r="AF102">
            <v>-4.3010752691770904E-2</v>
          </cell>
        </row>
        <row r="103">
          <cell r="B103" t="str">
            <v>RAHUL KR. MURMU</v>
          </cell>
          <cell r="C103" t="str">
            <v>new</v>
          </cell>
          <cell r="D103" t="str">
            <v>H</v>
          </cell>
          <cell r="E103">
            <v>0</v>
          </cell>
          <cell r="F103">
            <v>0</v>
          </cell>
          <cell r="G103">
            <v>30</v>
          </cell>
          <cell r="H103">
            <v>0</v>
          </cell>
          <cell r="I103">
            <v>30</v>
          </cell>
          <cell r="J103">
            <v>0</v>
          </cell>
          <cell r="K103">
            <v>0</v>
          </cell>
          <cell r="M103">
            <v>0</v>
          </cell>
          <cell r="N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8500</v>
          </cell>
          <cell r="T103">
            <v>9500</v>
          </cell>
          <cell r="U103">
            <v>0</v>
          </cell>
          <cell r="V103">
            <v>0</v>
          </cell>
          <cell r="W103">
            <v>0</v>
          </cell>
          <cell r="Y103">
            <v>917</v>
          </cell>
          <cell r="Z103">
            <v>917</v>
          </cell>
          <cell r="AA103">
            <v>917</v>
          </cell>
          <cell r="AC103">
            <v>917</v>
          </cell>
          <cell r="AD103">
            <v>0</v>
          </cell>
          <cell r="AE103">
            <v>0</v>
          </cell>
          <cell r="AF103">
            <v>917</v>
          </cell>
        </row>
        <row r="104">
          <cell r="B104" t="str">
            <v>Rajan Digar</v>
          </cell>
          <cell r="C104" t="str">
            <v>new</v>
          </cell>
          <cell r="D104" t="str">
            <v>N/G</v>
          </cell>
          <cell r="E104" t="str">
            <v>Karo</v>
          </cell>
          <cell r="F104">
            <v>0</v>
          </cell>
          <cell r="G104">
            <v>30</v>
          </cell>
          <cell r="H104">
            <v>27</v>
          </cell>
          <cell r="I104">
            <v>3</v>
          </cell>
          <cell r="J104">
            <v>0</v>
          </cell>
          <cell r="K104">
            <v>0</v>
          </cell>
          <cell r="M104">
            <v>0</v>
          </cell>
          <cell r="N104">
            <v>27</v>
          </cell>
          <cell r="O104">
            <v>0</v>
          </cell>
          <cell r="P104">
            <v>27</v>
          </cell>
          <cell r="Q104">
            <v>0</v>
          </cell>
          <cell r="R104">
            <v>0</v>
          </cell>
          <cell r="S104">
            <v>8000</v>
          </cell>
          <cell r="T104">
            <v>9000</v>
          </cell>
          <cell r="U104">
            <v>8100</v>
          </cell>
          <cell r="V104">
            <v>0</v>
          </cell>
          <cell r="W104">
            <v>0</v>
          </cell>
          <cell r="Y104">
            <v>7836.9481720430122</v>
          </cell>
          <cell r="Z104">
            <v>7836.9481720430122</v>
          </cell>
          <cell r="AA104">
            <v>15936.948172043012</v>
          </cell>
          <cell r="AC104">
            <v>15936.948172043012</v>
          </cell>
          <cell r="AD104">
            <v>15940</v>
          </cell>
          <cell r="AE104" t="str">
            <v>from karo on 17.05.2026</v>
          </cell>
          <cell r="AF104">
            <v>-3.0518279569878359</v>
          </cell>
        </row>
        <row r="105">
          <cell r="B105" t="str">
            <v>Rajesh Kr. Hari</v>
          </cell>
          <cell r="C105" t="str">
            <v>new</v>
          </cell>
          <cell r="D105" t="str">
            <v>D/OP/H</v>
          </cell>
          <cell r="E105" t="str">
            <v>Karo</v>
          </cell>
          <cell r="F105">
            <v>0</v>
          </cell>
          <cell r="G105">
            <v>30</v>
          </cell>
          <cell r="H105">
            <v>27</v>
          </cell>
          <cell r="I105">
            <v>3</v>
          </cell>
          <cell r="J105">
            <v>0</v>
          </cell>
          <cell r="K105">
            <v>4</v>
          </cell>
          <cell r="M105">
            <v>4</v>
          </cell>
          <cell r="N105">
            <v>31</v>
          </cell>
          <cell r="O105">
            <v>3</v>
          </cell>
          <cell r="P105">
            <v>30</v>
          </cell>
          <cell r="Q105">
            <v>1</v>
          </cell>
          <cell r="R105">
            <v>0</v>
          </cell>
          <cell r="S105">
            <v>10000</v>
          </cell>
          <cell r="T105">
            <v>11000</v>
          </cell>
          <cell r="U105">
            <v>11000</v>
          </cell>
          <cell r="V105">
            <v>0</v>
          </cell>
          <cell r="W105">
            <v>0</v>
          </cell>
          <cell r="Y105">
            <v>10998.998709677417</v>
          </cell>
          <cell r="Z105">
            <v>10998.998709677417</v>
          </cell>
          <cell r="AA105">
            <v>21998.998709677417</v>
          </cell>
          <cell r="AC105">
            <v>21998.998709677417</v>
          </cell>
          <cell r="AD105">
            <v>22000</v>
          </cell>
          <cell r="AE105" t="str">
            <v>from karo on 20.05.2026</v>
          </cell>
          <cell r="AF105">
            <v>-1.0012903225833725</v>
          </cell>
        </row>
        <row r="106">
          <cell r="B106" t="str">
            <v>RAJESH MAHTO</v>
          </cell>
          <cell r="C106" t="str">
            <v>new</v>
          </cell>
          <cell r="D106" t="str">
            <v>supervisor</v>
          </cell>
          <cell r="E106">
            <v>0</v>
          </cell>
          <cell r="F106">
            <v>0</v>
          </cell>
          <cell r="G106">
            <v>30</v>
          </cell>
          <cell r="H106">
            <v>0</v>
          </cell>
          <cell r="I106">
            <v>30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10000</v>
          </cell>
          <cell r="T106">
            <v>12000</v>
          </cell>
          <cell r="U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A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B107" t="str">
            <v>Rajeshwar Rajak</v>
          </cell>
          <cell r="C107" t="str">
            <v>new</v>
          </cell>
          <cell r="D107" t="str">
            <v>N/G</v>
          </cell>
          <cell r="E107" t="str">
            <v>Karo</v>
          </cell>
          <cell r="F107">
            <v>0</v>
          </cell>
          <cell r="G107">
            <v>30</v>
          </cell>
          <cell r="H107">
            <v>30</v>
          </cell>
          <cell r="I107">
            <v>0</v>
          </cell>
          <cell r="J107">
            <v>0</v>
          </cell>
          <cell r="K107">
            <v>0</v>
          </cell>
          <cell r="M107">
            <v>0</v>
          </cell>
          <cell r="N107">
            <v>30</v>
          </cell>
          <cell r="O107">
            <v>0</v>
          </cell>
          <cell r="P107">
            <v>30</v>
          </cell>
          <cell r="Q107">
            <v>0</v>
          </cell>
          <cell r="R107">
            <v>0</v>
          </cell>
          <cell r="S107">
            <v>8000</v>
          </cell>
          <cell r="T107">
            <v>9000</v>
          </cell>
          <cell r="U107">
            <v>9000</v>
          </cell>
          <cell r="V107">
            <v>0</v>
          </cell>
          <cell r="W107">
            <v>0</v>
          </cell>
          <cell r="Y107">
            <v>8419.1321044546894</v>
          </cell>
          <cell r="Z107">
            <v>8419.1321044546894</v>
          </cell>
          <cell r="AA107">
            <v>17419.132104454689</v>
          </cell>
          <cell r="AC107">
            <v>17419.132104454689</v>
          </cell>
          <cell r="AD107">
            <v>17420</v>
          </cell>
          <cell r="AE107" t="str">
            <v>from karo on 17.05.2026</v>
          </cell>
          <cell r="AF107">
            <v>-0.86789554531060276</v>
          </cell>
        </row>
        <row r="108">
          <cell r="B108" t="str">
            <v>RAJKUMAR DAS</v>
          </cell>
          <cell r="C108" t="str">
            <v>new</v>
          </cell>
          <cell r="D108" t="str">
            <v>supervisor</v>
          </cell>
          <cell r="E108">
            <v>0</v>
          </cell>
          <cell r="F108">
            <v>0</v>
          </cell>
          <cell r="G108">
            <v>30</v>
          </cell>
          <cell r="H108">
            <v>0</v>
          </cell>
          <cell r="I108">
            <v>30</v>
          </cell>
          <cell r="J108">
            <v>0</v>
          </cell>
          <cell r="K108">
            <v>0</v>
          </cell>
          <cell r="M108">
            <v>0</v>
          </cell>
          <cell r="N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9000</v>
          </cell>
          <cell r="T108">
            <v>10000</v>
          </cell>
          <cell r="U108">
            <v>0</v>
          </cell>
          <cell r="V108">
            <v>0</v>
          </cell>
          <cell r="W108">
            <v>0</v>
          </cell>
          <cell r="Y108">
            <v>0</v>
          </cell>
          <cell r="Z108">
            <v>0</v>
          </cell>
          <cell r="AA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B109" t="str">
            <v>Rajkumar Soren</v>
          </cell>
          <cell r="C109" t="str">
            <v>new</v>
          </cell>
          <cell r="D109" t="str">
            <v>T/H</v>
          </cell>
          <cell r="E109">
            <v>0</v>
          </cell>
          <cell r="F109">
            <v>0</v>
          </cell>
          <cell r="G109">
            <v>30</v>
          </cell>
          <cell r="H109">
            <v>0</v>
          </cell>
          <cell r="I109">
            <v>30</v>
          </cell>
          <cell r="J109">
            <v>0</v>
          </cell>
          <cell r="K109">
            <v>0</v>
          </cell>
          <cell r="M109">
            <v>0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8500</v>
          </cell>
          <cell r="T109">
            <v>9500</v>
          </cell>
          <cell r="U109">
            <v>0</v>
          </cell>
          <cell r="V109">
            <v>0</v>
          </cell>
          <cell r="W109">
            <v>0</v>
          </cell>
          <cell r="Y109">
            <v>0</v>
          </cell>
          <cell r="Z109">
            <v>0</v>
          </cell>
          <cell r="AA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B110" t="str">
            <v>Raju Prajapati</v>
          </cell>
          <cell r="C110" t="str">
            <v>new</v>
          </cell>
          <cell r="D110" t="str">
            <v>Mechanic</v>
          </cell>
          <cell r="E110">
            <v>0</v>
          </cell>
          <cell r="F110">
            <v>0</v>
          </cell>
          <cell r="G110">
            <v>30</v>
          </cell>
          <cell r="H110">
            <v>0</v>
          </cell>
          <cell r="I110">
            <v>30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15000</v>
          </cell>
          <cell r="T110">
            <v>15000</v>
          </cell>
          <cell r="U110">
            <v>0</v>
          </cell>
          <cell r="V110">
            <v>1.9354838709678006</v>
          </cell>
          <cell r="W110">
            <v>1.9354838709678006</v>
          </cell>
          <cell r="Y110">
            <v>0</v>
          </cell>
          <cell r="Z110">
            <v>0</v>
          </cell>
          <cell r="AA110">
            <v>-1.9354838709678006</v>
          </cell>
          <cell r="AC110">
            <v>-1.9354838709678006</v>
          </cell>
          <cell r="AD110">
            <v>0</v>
          </cell>
          <cell r="AE110">
            <v>0</v>
          </cell>
          <cell r="AF110">
            <v>-1.9354838709678006</v>
          </cell>
        </row>
        <row r="111">
          <cell r="B111" t="str">
            <v>RAKESH PRAMANIK</v>
          </cell>
          <cell r="C111" t="str">
            <v>new</v>
          </cell>
          <cell r="D111" t="str">
            <v>H</v>
          </cell>
          <cell r="E111" t="str">
            <v>Tori/lal</v>
          </cell>
          <cell r="F111">
            <v>0</v>
          </cell>
          <cell r="G111">
            <v>30</v>
          </cell>
          <cell r="H111">
            <v>23</v>
          </cell>
          <cell r="I111">
            <v>7</v>
          </cell>
          <cell r="J111">
            <v>4</v>
          </cell>
          <cell r="K111">
            <v>3</v>
          </cell>
          <cell r="M111">
            <v>7</v>
          </cell>
          <cell r="N111">
            <v>30</v>
          </cell>
          <cell r="P111">
            <v>30</v>
          </cell>
          <cell r="Q111">
            <v>0</v>
          </cell>
          <cell r="R111">
            <v>0</v>
          </cell>
          <cell r="S111">
            <v>8500</v>
          </cell>
          <cell r="T111">
            <v>9500</v>
          </cell>
          <cell r="U111">
            <v>9500</v>
          </cell>
          <cell r="V111">
            <v>0</v>
          </cell>
          <cell r="W111">
            <v>0</v>
          </cell>
          <cell r="Y111">
            <v>9500.3548387096744</v>
          </cell>
          <cell r="Z111">
            <v>9500.3548387096744</v>
          </cell>
          <cell r="AA111">
            <v>19000.354838709674</v>
          </cell>
          <cell r="AC111">
            <v>19000.354838709674</v>
          </cell>
          <cell r="AD111">
            <v>19000</v>
          </cell>
          <cell r="AE111" t="str">
            <v>paid from lalpania on 18.05.2026</v>
          </cell>
          <cell r="AF111">
            <v>0.35483870967436815</v>
          </cell>
        </row>
        <row r="112">
          <cell r="B112" t="str">
            <v>RAM NARAYAN MAHTO</v>
          </cell>
          <cell r="C112" t="str">
            <v>old</v>
          </cell>
          <cell r="D112" t="str">
            <v>supervisor</v>
          </cell>
          <cell r="E112" t="str">
            <v>lal</v>
          </cell>
          <cell r="F112">
            <v>0</v>
          </cell>
          <cell r="G112">
            <v>30</v>
          </cell>
          <cell r="H112">
            <v>29</v>
          </cell>
          <cell r="I112">
            <v>1</v>
          </cell>
          <cell r="J112">
            <v>1</v>
          </cell>
          <cell r="K112">
            <v>4</v>
          </cell>
          <cell r="M112">
            <v>5</v>
          </cell>
          <cell r="N112">
            <v>34</v>
          </cell>
          <cell r="P112">
            <v>30</v>
          </cell>
          <cell r="Q112">
            <v>4</v>
          </cell>
          <cell r="R112">
            <v>0</v>
          </cell>
          <cell r="S112">
            <v>12500</v>
          </cell>
          <cell r="T112">
            <v>14500</v>
          </cell>
          <cell r="U112">
            <v>14500</v>
          </cell>
          <cell r="V112">
            <v>0</v>
          </cell>
          <cell r="W112">
            <v>0</v>
          </cell>
          <cell r="Y112">
            <v>14480</v>
          </cell>
          <cell r="Z112">
            <v>14480</v>
          </cell>
          <cell r="AA112">
            <v>28980</v>
          </cell>
          <cell r="AC112">
            <v>28980</v>
          </cell>
          <cell r="AD112">
            <v>29000</v>
          </cell>
          <cell r="AE112" t="str">
            <v>paid from lalpania on 18.05.2026</v>
          </cell>
          <cell r="AF112">
            <v>-20</v>
          </cell>
        </row>
        <row r="113">
          <cell r="B113" t="str">
            <v>RAMCHANDRA MAHTO JCB</v>
          </cell>
          <cell r="C113" t="str">
            <v>old</v>
          </cell>
          <cell r="D113" t="str">
            <v>Polc.JCB Operator</v>
          </cell>
          <cell r="E113" t="str">
            <v>Karo</v>
          </cell>
          <cell r="F113">
            <v>0</v>
          </cell>
          <cell r="G113">
            <v>30</v>
          </cell>
          <cell r="H113">
            <v>28</v>
          </cell>
          <cell r="I113">
            <v>2</v>
          </cell>
          <cell r="J113">
            <v>-13</v>
          </cell>
          <cell r="K113">
            <v>4</v>
          </cell>
          <cell r="M113">
            <v>4</v>
          </cell>
          <cell r="N113">
            <v>32</v>
          </cell>
          <cell r="O113">
            <v>2</v>
          </cell>
          <cell r="P113">
            <v>30</v>
          </cell>
          <cell r="Q113">
            <v>2</v>
          </cell>
          <cell r="R113">
            <v>-13</v>
          </cell>
          <cell r="S113">
            <v>15500</v>
          </cell>
          <cell r="T113">
            <v>17500</v>
          </cell>
          <cell r="U113">
            <v>17500</v>
          </cell>
          <cell r="V113">
            <v>0</v>
          </cell>
          <cell r="W113">
            <v>0</v>
          </cell>
          <cell r="Y113">
            <v>0</v>
          </cell>
          <cell r="Z113">
            <v>0</v>
          </cell>
          <cell r="AA113">
            <v>17500</v>
          </cell>
          <cell r="AC113">
            <v>17500</v>
          </cell>
          <cell r="AD113">
            <v>17500</v>
          </cell>
          <cell r="AE113" t="str">
            <v>from K.E. Bank Account</v>
          </cell>
          <cell r="AF113">
            <v>0</v>
          </cell>
        </row>
        <row r="114">
          <cell r="B114" t="str">
            <v>Ramchandra Yadav</v>
          </cell>
          <cell r="C114" t="str">
            <v>old</v>
          </cell>
          <cell r="D114" t="str">
            <v>Polc.Op</v>
          </cell>
          <cell r="E114" t="str">
            <v>Karo</v>
          </cell>
          <cell r="F114">
            <v>0</v>
          </cell>
          <cell r="G114">
            <v>30</v>
          </cell>
          <cell r="H114">
            <v>9</v>
          </cell>
          <cell r="I114">
            <v>21</v>
          </cell>
          <cell r="J114">
            <v>0</v>
          </cell>
          <cell r="K114">
            <v>0</v>
          </cell>
          <cell r="M114">
            <v>0</v>
          </cell>
          <cell r="N114">
            <v>9</v>
          </cell>
          <cell r="O114">
            <v>0</v>
          </cell>
          <cell r="P114">
            <v>9</v>
          </cell>
          <cell r="Q114">
            <v>0</v>
          </cell>
          <cell r="R114">
            <v>0</v>
          </cell>
          <cell r="S114">
            <v>17000</v>
          </cell>
          <cell r="T114">
            <v>19000</v>
          </cell>
          <cell r="U114">
            <v>5700</v>
          </cell>
          <cell r="V114">
            <v>11892.963225806448</v>
          </cell>
          <cell r="W114">
            <v>11892.963225806448</v>
          </cell>
          <cell r="Y114">
            <v>0</v>
          </cell>
          <cell r="Z114">
            <v>0</v>
          </cell>
          <cell r="AA114">
            <v>-6192.9632258064485</v>
          </cell>
          <cell r="AC114">
            <v>-6192.9632258064485</v>
          </cell>
          <cell r="AD114">
            <v>0</v>
          </cell>
          <cell r="AE114">
            <v>0</v>
          </cell>
          <cell r="AF114">
            <v>-6192.9632258064485</v>
          </cell>
        </row>
        <row r="115">
          <cell r="B115" t="str">
            <v>RAMESH YADAV (POONAM DEVI)</v>
          </cell>
          <cell r="C115" t="str">
            <v>new</v>
          </cell>
          <cell r="D115" t="str">
            <v>COOK</v>
          </cell>
          <cell r="E115" t="str">
            <v>tori</v>
          </cell>
          <cell r="F115">
            <v>0</v>
          </cell>
          <cell r="G115">
            <v>30</v>
          </cell>
          <cell r="H115">
            <v>24</v>
          </cell>
          <cell r="I115">
            <v>6</v>
          </cell>
          <cell r="J115">
            <v>4</v>
          </cell>
          <cell r="K115">
            <v>3</v>
          </cell>
          <cell r="M115">
            <v>7</v>
          </cell>
          <cell r="N115">
            <v>31</v>
          </cell>
          <cell r="P115">
            <v>30</v>
          </cell>
          <cell r="Q115">
            <v>1</v>
          </cell>
          <cell r="R115">
            <v>0</v>
          </cell>
          <cell r="S115">
            <v>11000</v>
          </cell>
          <cell r="T115">
            <v>12000</v>
          </cell>
          <cell r="U115">
            <v>12000</v>
          </cell>
          <cell r="V115">
            <v>0</v>
          </cell>
          <cell r="W115">
            <v>0</v>
          </cell>
          <cell r="Y115">
            <v>12000</v>
          </cell>
          <cell r="Z115">
            <v>12000</v>
          </cell>
          <cell r="AA115">
            <v>24000</v>
          </cell>
          <cell r="AC115">
            <v>24000</v>
          </cell>
          <cell r="AD115">
            <v>24000</v>
          </cell>
          <cell r="AE115" t="str">
            <v>From karo paytm on 23.05.2026</v>
          </cell>
          <cell r="AF115">
            <v>0</v>
          </cell>
        </row>
        <row r="116">
          <cell r="B116" t="str">
            <v>Ramlal Murmu</v>
          </cell>
          <cell r="C116" t="str">
            <v>new</v>
          </cell>
          <cell r="D116" t="str">
            <v>T/D</v>
          </cell>
          <cell r="E116" t="str">
            <v>Karo/Tori</v>
          </cell>
          <cell r="F116">
            <v>0</v>
          </cell>
          <cell r="G116">
            <v>30</v>
          </cell>
          <cell r="H116">
            <v>30</v>
          </cell>
          <cell r="I116">
            <v>0</v>
          </cell>
          <cell r="J116">
            <v>1</v>
          </cell>
          <cell r="K116">
            <v>4</v>
          </cell>
          <cell r="M116">
            <v>5</v>
          </cell>
          <cell r="N116">
            <v>35</v>
          </cell>
          <cell r="O116">
            <v>0</v>
          </cell>
          <cell r="P116">
            <v>30</v>
          </cell>
          <cell r="Q116">
            <v>5</v>
          </cell>
          <cell r="R116">
            <v>0</v>
          </cell>
          <cell r="S116">
            <v>14500</v>
          </cell>
          <cell r="T116">
            <v>16000</v>
          </cell>
          <cell r="U116">
            <v>16000.000000000002</v>
          </cell>
          <cell r="V116">
            <v>0</v>
          </cell>
          <cell r="W116">
            <v>0</v>
          </cell>
          <cell r="Y116">
            <v>15999.645161290326</v>
          </cell>
          <cell r="Z116">
            <v>15999.645161290326</v>
          </cell>
          <cell r="AA116">
            <v>31999.645161290326</v>
          </cell>
          <cell r="AC116">
            <v>31999.645161290326</v>
          </cell>
          <cell r="AD116">
            <v>32000</v>
          </cell>
          <cell r="AE116" t="str">
            <v>from karo on 17.05.2026</v>
          </cell>
          <cell r="AF116">
            <v>-0.35483870967436815</v>
          </cell>
        </row>
        <row r="117">
          <cell r="B117" t="str">
            <v>RASHULAL KR</v>
          </cell>
          <cell r="C117" t="str">
            <v>new</v>
          </cell>
          <cell r="D117" t="str">
            <v>F.H</v>
          </cell>
          <cell r="E117">
            <v>0</v>
          </cell>
          <cell r="F117">
            <v>0</v>
          </cell>
          <cell r="G117">
            <v>30</v>
          </cell>
          <cell r="H117">
            <v>0</v>
          </cell>
          <cell r="I117">
            <v>30</v>
          </cell>
          <cell r="J117">
            <v>0</v>
          </cell>
          <cell r="K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8500</v>
          </cell>
          <cell r="T117">
            <v>9500</v>
          </cell>
          <cell r="U117">
            <v>0</v>
          </cell>
          <cell r="V117">
            <v>0</v>
          </cell>
          <cell r="W117">
            <v>0</v>
          </cell>
          <cell r="Y117">
            <v>0</v>
          </cell>
          <cell r="Z117">
            <v>0</v>
          </cell>
          <cell r="AA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B118" t="str">
            <v>Rithik Kumar</v>
          </cell>
          <cell r="C118" t="str">
            <v>new</v>
          </cell>
          <cell r="D118" t="str">
            <v>D/OP</v>
          </cell>
          <cell r="E118">
            <v>0</v>
          </cell>
          <cell r="F118">
            <v>0</v>
          </cell>
          <cell r="G118">
            <v>30</v>
          </cell>
          <cell r="H118">
            <v>0</v>
          </cell>
          <cell r="I118">
            <v>30</v>
          </cell>
          <cell r="J118">
            <v>0</v>
          </cell>
          <cell r="K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10000</v>
          </cell>
          <cell r="T118">
            <v>12000</v>
          </cell>
          <cell r="U118">
            <v>0</v>
          </cell>
          <cell r="V118">
            <v>0</v>
          </cell>
          <cell r="W118">
            <v>0</v>
          </cell>
          <cell r="Y118">
            <v>0.35483870967618714</v>
          </cell>
          <cell r="Z118">
            <v>0.35483870967618714</v>
          </cell>
          <cell r="AA118">
            <v>0.35483870967618714</v>
          </cell>
          <cell r="AC118">
            <v>0.35483870967618714</v>
          </cell>
          <cell r="AD118">
            <v>0</v>
          </cell>
          <cell r="AE118">
            <v>0</v>
          </cell>
          <cell r="AF118">
            <v>0.35483870967618714</v>
          </cell>
        </row>
        <row r="119">
          <cell r="B119" t="str">
            <v>ROHAN GANJHU</v>
          </cell>
          <cell r="C119" t="str">
            <v>LOCAL</v>
          </cell>
          <cell r="D119" t="str">
            <v>T/D</v>
          </cell>
          <cell r="E119">
            <v>0</v>
          </cell>
          <cell r="F119">
            <v>0</v>
          </cell>
          <cell r="G119">
            <v>30</v>
          </cell>
          <cell r="H119">
            <v>0</v>
          </cell>
          <cell r="I119">
            <v>30</v>
          </cell>
          <cell r="J119">
            <v>0</v>
          </cell>
          <cell r="K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15000</v>
          </cell>
          <cell r="T119">
            <v>16000</v>
          </cell>
          <cell r="U119">
            <v>0</v>
          </cell>
          <cell r="V119">
            <v>0</v>
          </cell>
          <cell r="W119">
            <v>0</v>
          </cell>
          <cell r="Y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B120" t="str">
            <v>RUPLAL MARANDI</v>
          </cell>
          <cell r="C120" t="str">
            <v>old</v>
          </cell>
          <cell r="D120" t="str">
            <v>T/D</v>
          </cell>
          <cell r="E120" t="str">
            <v>lal</v>
          </cell>
          <cell r="F120">
            <v>0</v>
          </cell>
          <cell r="G120">
            <v>30</v>
          </cell>
          <cell r="H120">
            <v>9</v>
          </cell>
          <cell r="I120">
            <v>21</v>
          </cell>
          <cell r="J120">
            <v>7</v>
          </cell>
          <cell r="K120">
            <v>0</v>
          </cell>
          <cell r="M120">
            <v>7</v>
          </cell>
          <cell r="N120">
            <v>16</v>
          </cell>
          <cell r="P120">
            <v>16</v>
          </cell>
          <cell r="Q120">
            <v>0</v>
          </cell>
          <cell r="R120">
            <v>0</v>
          </cell>
          <cell r="S120">
            <v>14500</v>
          </cell>
          <cell r="T120">
            <v>16000</v>
          </cell>
          <cell r="U120">
            <v>8533.3333333333339</v>
          </cell>
          <cell r="V120">
            <v>0</v>
          </cell>
          <cell r="W120">
            <v>0</v>
          </cell>
          <cell r="Y120">
            <v>12149</v>
          </cell>
          <cell r="Z120">
            <v>12149</v>
          </cell>
          <cell r="AA120">
            <v>20682.333333333336</v>
          </cell>
          <cell r="AC120">
            <v>20682.333333333336</v>
          </cell>
          <cell r="AD120">
            <v>0</v>
          </cell>
          <cell r="AE120">
            <v>0</v>
          </cell>
          <cell r="AF120">
            <v>20682.333333333336</v>
          </cell>
        </row>
        <row r="121">
          <cell r="B121" t="str">
            <v xml:space="preserve">SABA AHMED </v>
          </cell>
          <cell r="C121" t="str">
            <v>new</v>
          </cell>
          <cell r="D121" t="str">
            <v>H</v>
          </cell>
          <cell r="E121">
            <v>0</v>
          </cell>
          <cell r="F121">
            <v>0</v>
          </cell>
          <cell r="G121">
            <v>30</v>
          </cell>
          <cell r="H121">
            <v>0</v>
          </cell>
          <cell r="I121">
            <v>30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8500</v>
          </cell>
          <cell r="T121">
            <v>9500</v>
          </cell>
          <cell r="U121">
            <v>0</v>
          </cell>
          <cell r="V121">
            <v>0</v>
          </cell>
          <cell r="W121">
            <v>0</v>
          </cell>
          <cell r="Y121">
            <v>0</v>
          </cell>
          <cell r="Z121">
            <v>0</v>
          </cell>
          <cell r="AA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B122" t="str">
            <v>Sandhya Devi</v>
          </cell>
          <cell r="C122" t="str">
            <v>new</v>
          </cell>
          <cell r="D122" t="str">
            <v>COOK</v>
          </cell>
          <cell r="E122" t="str">
            <v>Karo</v>
          </cell>
          <cell r="F122">
            <v>0</v>
          </cell>
          <cell r="G122">
            <v>30</v>
          </cell>
          <cell r="H122">
            <v>29</v>
          </cell>
          <cell r="I122">
            <v>1</v>
          </cell>
          <cell r="J122">
            <v>0</v>
          </cell>
          <cell r="K122">
            <v>4</v>
          </cell>
          <cell r="M122">
            <v>4</v>
          </cell>
          <cell r="N122">
            <v>33</v>
          </cell>
          <cell r="O122">
            <v>1</v>
          </cell>
          <cell r="P122">
            <v>30</v>
          </cell>
          <cell r="Q122">
            <v>3</v>
          </cell>
          <cell r="R122">
            <v>0</v>
          </cell>
          <cell r="S122">
            <v>7500</v>
          </cell>
          <cell r="T122">
            <v>8500</v>
          </cell>
          <cell r="U122">
            <v>8500</v>
          </cell>
          <cell r="V122">
            <v>0</v>
          </cell>
          <cell r="W122">
            <v>0</v>
          </cell>
          <cell r="Y122">
            <v>7677.0752688172042</v>
          </cell>
          <cell r="Z122">
            <v>7677.0752688172042</v>
          </cell>
          <cell r="AA122">
            <v>16177.075268817203</v>
          </cell>
          <cell r="AC122">
            <v>16177.075268817203</v>
          </cell>
          <cell r="AD122">
            <v>16200</v>
          </cell>
          <cell r="AE122" t="str">
            <v>from karo on 17.05.2026</v>
          </cell>
          <cell r="AF122">
            <v>-22.924731182796677</v>
          </cell>
        </row>
        <row r="123">
          <cell r="B123" t="str">
            <v>SANJAY KUMAR TURI</v>
          </cell>
          <cell r="C123" t="str">
            <v>new</v>
          </cell>
          <cell r="D123" t="str">
            <v>supervisor</v>
          </cell>
          <cell r="E123">
            <v>0</v>
          </cell>
          <cell r="F123">
            <v>0</v>
          </cell>
          <cell r="G123">
            <v>30</v>
          </cell>
          <cell r="H123">
            <v>0</v>
          </cell>
          <cell r="I123">
            <v>30</v>
          </cell>
          <cell r="J123">
            <v>0</v>
          </cell>
          <cell r="K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9000</v>
          </cell>
          <cell r="T123">
            <v>11000</v>
          </cell>
          <cell r="U123">
            <v>0</v>
          </cell>
          <cell r="V123">
            <v>0</v>
          </cell>
          <cell r="W123">
            <v>0</v>
          </cell>
          <cell r="Y123">
            <v>0</v>
          </cell>
          <cell r="Z123">
            <v>0</v>
          </cell>
          <cell r="AA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B124" t="str">
            <v>SANTOSH GANJHU</v>
          </cell>
          <cell r="C124" t="str">
            <v>LOCAL</v>
          </cell>
          <cell r="D124" t="str">
            <v>T/D</v>
          </cell>
          <cell r="E124">
            <v>0</v>
          </cell>
          <cell r="F124">
            <v>0</v>
          </cell>
          <cell r="G124">
            <v>30</v>
          </cell>
          <cell r="H124">
            <v>0</v>
          </cell>
          <cell r="I124">
            <v>30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15000</v>
          </cell>
          <cell r="T124">
            <v>16500</v>
          </cell>
          <cell r="U124">
            <v>0</v>
          </cell>
          <cell r="V124">
            <v>0</v>
          </cell>
          <cell r="W124">
            <v>0</v>
          </cell>
          <cell r="Y124">
            <v>0</v>
          </cell>
          <cell r="Z124">
            <v>0</v>
          </cell>
          <cell r="AA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B125" t="str">
            <v>SANTOSH KR MAHTO</v>
          </cell>
          <cell r="C125" t="str">
            <v>new</v>
          </cell>
          <cell r="D125" t="str">
            <v>Polc.JCB Operator</v>
          </cell>
          <cell r="E125">
            <v>0</v>
          </cell>
          <cell r="F125">
            <v>0</v>
          </cell>
          <cell r="G125">
            <v>30</v>
          </cell>
          <cell r="H125">
            <v>0</v>
          </cell>
          <cell r="I125">
            <v>30</v>
          </cell>
          <cell r="J125">
            <v>0</v>
          </cell>
          <cell r="K125">
            <v>0</v>
          </cell>
          <cell r="M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14000</v>
          </cell>
          <cell r="T125">
            <v>16000</v>
          </cell>
          <cell r="U125">
            <v>0</v>
          </cell>
          <cell r="V125">
            <v>0</v>
          </cell>
          <cell r="W125">
            <v>0</v>
          </cell>
          <cell r="Y125">
            <v>1862.4731182795701</v>
          </cell>
          <cell r="Z125">
            <v>1862.4731182795701</v>
          </cell>
          <cell r="AA125">
            <v>1862.4731182795701</v>
          </cell>
          <cell r="AC125">
            <v>1862.4731182795701</v>
          </cell>
          <cell r="AD125">
            <v>0</v>
          </cell>
          <cell r="AE125">
            <v>0</v>
          </cell>
          <cell r="AF125">
            <v>1862.4731182795701</v>
          </cell>
        </row>
        <row r="126">
          <cell r="B126" t="str">
            <v>SATISH YADAV</v>
          </cell>
          <cell r="C126" t="str">
            <v>new</v>
          </cell>
          <cell r="D126" t="str">
            <v>H</v>
          </cell>
          <cell r="E126">
            <v>0</v>
          </cell>
          <cell r="F126">
            <v>0</v>
          </cell>
          <cell r="G126">
            <v>30</v>
          </cell>
          <cell r="H126">
            <v>0</v>
          </cell>
          <cell r="I126">
            <v>30</v>
          </cell>
          <cell r="J126">
            <v>0</v>
          </cell>
          <cell r="K126">
            <v>0</v>
          </cell>
          <cell r="M126">
            <v>0</v>
          </cell>
          <cell r="N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8500</v>
          </cell>
          <cell r="T126">
            <v>9500</v>
          </cell>
          <cell r="U126">
            <v>0</v>
          </cell>
          <cell r="V126">
            <v>0</v>
          </cell>
          <cell r="W126">
            <v>0</v>
          </cell>
          <cell r="Y126">
            <v>8500</v>
          </cell>
          <cell r="Z126">
            <v>8500</v>
          </cell>
          <cell r="AA126">
            <v>8500</v>
          </cell>
          <cell r="AC126">
            <v>8500</v>
          </cell>
          <cell r="AD126">
            <v>0</v>
          </cell>
          <cell r="AE126">
            <v>0</v>
          </cell>
          <cell r="AF126">
            <v>8500</v>
          </cell>
        </row>
        <row r="127">
          <cell r="B127" t="str">
            <v>SHANKAR GANJHU</v>
          </cell>
          <cell r="C127" t="str">
            <v>Local</v>
          </cell>
          <cell r="D127" t="str">
            <v>T/D</v>
          </cell>
          <cell r="E127">
            <v>0</v>
          </cell>
          <cell r="F127">
            <v>0</v>
          </cell>
          <cell r="G127">
            <v>30</v>
          </cell>
          <cell r="H127">
            <v>0</v>
          </cell>
          <cell r="I127">
            <v>30</v>
          </cell>
          <cell r="J127">
            <v>0</v>
          </cell>
          <cell r="K127">
            <v>0</v>
          </cell>
          <cell r="M127">
            <v>0</v>
          </cell>
          <cell r="N127">
            <v>0</v>
          </cell>
          <cell r="P127">
            <v>0</v>
          </cell>
          <cell r="Q127">
            <v>0</v>
          </cell>
          <cell r="R127">
            <v>0</v>
          </cell>
          <cell r="U127">
            <v>0</v>
          </cell>
          <cell r="V127">
            <v>0</v>
          </cell>
          <cell r="W127">
            <v>0</v>
          </cell>
          <cell r="Y127">
            <v>0</v>
          </cell>
          <cell r="Z127">
            <v>0</v>
          </cell>
          <cell r="AA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B128" t="str">
            <v>SHYAM NARAYAN PAUL</v>
          </cell>
          <cell r="C128" t="str">
            <v>NEW</v>
          </cell>
          <cell r="D128" t="str">
            <v>Store Incharge</v>
          </cell>
          <cell r="E128">
            <v>0</v>
          </cell>
          <cell r="F128">
            <v>0</v>
          </cell>
          <cell r="G128">
            <v>30</v>
          </cell>
          <cell r="H128">
            <v>0</v>
          </cell>
          <cell r="I128">
            <v>30</v>
          </cell>
          <cell r="J128">
            <v>0</v>
          </cell>
          <cell r="K128">
            <v>0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17000</v>
          </cell>
          <cell r="T128">
            <v>17000</v>
          </cell>
          <cell r="U128">
            <v>0</v>
          </cell>
          <cell r="V128">
            <v>3.3333333333339397</v>
          </cell>
          <cell r="W128">
            <v>3.3333333333339397</v>
          </cell>
          <cell r="Y128">
            <v>0</v>
          </cell>
          <cell r="Z128">
            <v>0</v>
          </cell>
          <cell r="AA128">
            <v>-3.3333333333339397</v>
          </cell>
          <cell r="AC128">
            <v>-3.3333333333339397</v>
          </cell>
          <cell r="AD128">
            <v>0</v>
          </cell>
          <cell r="AE128">
            <v>0</v>
          </cell>
          <cell r="AF128">
            <v>-3.3333333333339397</v>
          </cell>
        </row>
        <row r="129">
          <cell r="B129" t="str">
            <v>Somar Turi</v>
          </cell>
          <cell r="C129" t="str">
            <v>NEW</v>
          </cell>
          <cell r="D129" t="str">
            <v>COOK</v>
          </cell>
          <cell r="E129" t="str">
            <v>Karo/Tori</v>
          </cell>
          <cell r="F129">
            <v>0</v>
          </cell>
          <cell r="G129">
            <v>30</v>
          </cell>
          <cell r="H129">
            <v>22</v>
          </cell>
          <cell r="I129">
            <v>8</v>
          </cell>
          <cell r="J129">
            <v>5</v>
          </cell>
          <cell r="K129">
            <v>3</v>
          </cell>
          <cell r="M129">
            <v>8</v>
          </cell>
          <cell r="N129">
            <v>30</v>
          </cell>
          <cell r="O129">
            <v>8</v>
          </cell>
          <cell r="P129">
            <v>30</v>
          </cell>
          <cell r="Q129">
            <v>0</v>
          </cell>
          <cell r="R129">
            <v>0</v>
          </cell>
          <cell r="S129">
            <v>11500</v>
          </cell>
          <cell r="T129">
            <v>12500</v>
          </cell>
          <cell r="U129">
            <v>12500</v>
          </cell>
          <cell r="V129">
            <v>0</v>
          </cell>
          <cell r="W129">
            <v>0</v>
          </cell>
          <cell r="Y129">
            <v>12496.666666666668</v>
          </cell>
          <cell r="Z129">
            <v>12496.666666666668</v>
          </cell>
          <cell r="AA129">
            <v>24996.666666666668</v>
          </cell>
          <cell r="AC129">
            <v>24996.666666666668</v>
          </cell>
          <cell r="AD129">
            <v>23000</v>
          </cell>
          <cell r="AE129" t="str">
            <v>from Karo on 07.05.2026, from karo on 10.05.2026, from karo on 13.05.2026, from karo on 17.05.2026</v>
          </cell>
          <cell r="AF129">
            <v>1996.6666666666679</v>
          </cell>
        </row>
        <row r="130">
          <cell r="B130" t="str">
            <v>SUKHDEV MAHTO (Sup)</v>
          </cell>
          <cell r="C130" t="str">
            <v>old</v>
          </cell>
          <cell r="D130" t="str">
            <v>supervisor</v>
          </cell>
          <cell r="E130" t="str">
            <v>Karo</v>
          </cell>
          <cell r="F130">
            <v>0</v>
          </cell>
          <cell r="G130">
            <v>30</v>
          </cell>
          <cell r="H130">
            <v>24</v>
          </cell>
          <cell r="I130">
            <v>6</v>
          </cell>
          <cell r="J130">
            <v>1.5</v>
          </cell>
          <cell r="K130">
            <v>3</v>
          </cell>
          <cell r="L130">
            <v>1.5</v>
          </cell>
          <cell r="M130">
            <v>6</v>
          </cell>
          <cell r="N130">
            <v>30</v>
          </cell>
          <cell r="O130">
            <v>6</v>
          </cell>
          <cell r="P130">
            <v>30</v>
          </cell>
          <cell r="Q130">
            <v>0</v>
          </cell>
          <cell r="R130">
            <v>-1.5</v>
          </cell>
          <cell r="S130">
            <v>12000</v>
          </cell>
          <cell r="T130">
            <v>14000</v>
          </cell>
          <cell r="U130">
            <v>14000</v>
          </cell>
          <cell r="V130">
            <v>0</v>
          </cell>
          <cell r="W130">
            <v>0</v>
          </cell>
          <cell r="Y130">
            <v>6629.8064516129061</v>
          </cell>
          <cell r="Z130">
            <v>6629.8064516129061</v>
          </cell>
          <cell r="AA130">
            <v>20629.806451612905</v>
          </cell>
          <cell r="AC130">
            <v>20629.806451612905</v>
          </cell>
          <cell r="AD130">
            <v>20630</v>
          </cell>
          <cell r="AE130" t="str">
            <v>from karo on 17.05.2026</v>
          </cell>
          <cell r="AF130">
            <v>-0.19354838709477917</v>
          </cell>
        </row>
        <row r="131">
          <cell r="B131" t="str">
            <v>SUKHDEV MAHTO (NG)</v>
          </cell>
          <cell r="C131" t="str">
            <v>new</v>
          </cell>
          <cell r="D131" t="str">
            <v>N/G</v>
          </cell>
          <cell r="E131">
            <v>0</v>
          </cell>
          <cell r="F131">
            <v>0</v>
          </cell>
          <cell r="G131">
            <v>30</v>
          </cell>
          <cell r="H131">
            <v>0</v>
          </cell>
          <cell r="I131">
            <v>30</v>
          </cell>
          <cell r="J131">
            <v>0</v>
          </cell>
          <cell r="K131">
            <v>0</v>
          </cell>
          <cell r="M131">
            <v>0</v>
          </cell>
          <cell r="N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10850</v>
          </cell>
          <cell r="T131">
            <v>11850</v>
          </cell>
          <cell r="U131">
            <v>0</v>
          </cell>
          <cell r="V131">
            <v>0</v>
          </cell>
          <cell r="W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B132" t="str">
            <v>SUMAN KR SINHA</v>
          </cell>
          <cell r="C132" t="str">
            <v>old</v>
          </cell>
          <cell r="D132" t="str">
            <v>supervisor</v>
          </cell>
          <cell r="E132" t="str">
            <v>Lal</v>
          </cell>
          <cell r="F132">
            <v>0</v>
          </cell>
          <cell r="G132">
            <v>30</v>
          </cell>
          <cell r="H132">
            <v>28</v>
          </cell>
          <cell r="I132">
            <v>2</v>
          </cell>
          <cell r="J132">
            <v>-12</v>
          </cell>
          <cell r="K132">
            <v>4</v>
          </cell>
          <cell r="M132">
            <v>4</v>
          </cell>
          <cell r="N132">
            <v>32</v>
          </cell>
          <cell r="P132">
            <v>30</v>
          </cell>
          <cell r="Q132">
            <v>2</v>
          </cell>
          <cell r="R132">
            <v>-12</v>
          </cell>
          <cell r="S132">
            <v>12000</v>
          </cell>
          <cell r="T132">
            <v>14000</v>
          </cell>
          <cell r="U132">
            <v>14000</v>
          </cell>
          <cell r="V132">
            <v>0</v>
          </cell>
          <cell r="W132">
            <v>0</v>
          </cell>
          <cell r="Y132">
            <v>14000</v>
          </cell>
          <cell r="Z132">
            <v>14000</v>
          </cell>
          <cell r="AA132">
            <v>28000</v>
          </cell>
          <cell r="AC132">
            <v>28000</v>
          </cell>
          <cell r="AD132">
            <v>28000</v>
          </cell>
          <cell r="AE132" t="str">
            <v>Paid from lalpania on 18.05.2026</v>
          </cell>
          <cell r="AF132">
            <v>0</v>
          </cell>
        </row>
        <row r="133">
          <cell r="B133" t="str">
            <v>SUNIL KR. RAWANI</v>
          </cell>
          <cell r="C133" t="str">
            <v>new</v>
          </cell>
          <cell r="D133" t="str">
            <v>N/G</v>
          </cell>
          <cell r="E133">
            <v>0</v>
          </cell>
          <cell r="F133">
            <v>0</v>
          </cell>
          <cell r="G133">
            <v>30</v>
          </cell>
          <cell r="H133">
            <v>0</v>
          </cell>
          <cell r="I133">
            <v>30</v>
          </cell>
          <cell r="J133">
            <v>0</v>
          </cell>
          <cell r="K133">
            <v>0</v>
          </cell>
          <cell r="M133">
            <v>0</v>
          </cell>
          <cell r="N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8000</v>
          </cell>
          <cell r="T133">
            <v>9000</v>
          </cell>
          <cell r="U133">
            <v>0</v>
          </cell>
          <cell r="V133">
            <v>0</v>
          </cell>
          <cell r="W133">
            <v>0</v>
          </cell>
          <cell r="Y133">
            <v>0</v>
          </cell>
          <cell r="Z133">
            <v>0</v>
          </cell>
          <cell r="AA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B134" t="str">
            <v>SURAJ KR. MARANDI</v>
          </cell>
          <cell r="C134" t="str">
            <v>new</v>
          </cell>
          <cell r="D134" t="str">
            <v>H</v>
          </cell>
          <cell r="E134">
            <v>0</v>
          </cell>
          <cell r="F134">
            <v>0</v>
          </cell>
          <cell r="G134">
            <v>30</v>
          </cell>
          <cell r="H134">
            <v>0</v>
          </cell>
          <cell r="I134">
            <v>30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8500</v>
          </cell>
          <cell r="T134">
            <v>9500</v>
          </cell>
          <cell r="U134">
            <v>0</v>
          </cell>
          <cell r="V134">
            <v>0</v>
          </cell>
          <cell r="W134">
            <v>0</v>
          </cell>
          <cell r="Y134">
            <v>0</v>
          </cell>
          <cell r="Z134">
            <v>0</v>
          </cell>
          <cell r="AA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B135" t="str">
            <v>SURAJ KUMAR /SURAJ TURI</v>
          </cell>
          <cell r="C135" t="str">
            <v>new</v>
          </cell>
          <cell r="D135" t="str">
            <v>T/D</v>
          </cell>
          <cell r="E135" t="str">
            <v>Karo/tori</v>
          </cell>
          <cell r="F135">
            <v>0</v>
          </cell>
          <cell r="G135">
            <v>30</v>
          </cell>
          <cell r="H135">
            <v>27</v>
          </cell>
          <cell r="I135">
            <v>3</v>
          </cell>
          <cell r="J135">
            <v>-2</v>
          </cell>
          <cell r="K135">
            <v>4</v>
          </cell>
          <cell r="M135">
            <v>4</v>
          </cell>
          <cell r="N135">
            <v>31</v>
          </cell>
          <cell r="O135">
            <v>3</v>
          </cell>
          <cell r="P135">
            <v>30</v>
          </cell>
          <cell r="Q135">
            <v>1</v>
          </cell>
          <cell r="R135">
            <v>-2</v>
          </cell>
          <cell r="S135">
            <v>14500</v>
          </cell>
          <cell r="T135">
            <v>16000</v>
          </cell>
          <cell r="U135">
            <v>16000.000000000002</v>
          </cell>
          <cell r="V135">
            <v>0</v>
          </cell>
          <cell r="W135">
            <v>0</v>
          </cell>
          <cell r="Y135">
            <v>9561.7741935483864</v>
          </cell>
          <cell r="Z135">
            <v>9561.7741935483864</v>
          </cell>
          <cell r="AA135">
            <v>25561.774193548386</v>
          </cell>
          <cell r="AC135">
            <v>25561.774193548386</v>
          </cell>
          <cell r="AD135">
            <v>25500</v>
          </cell>
          <cell r="AE135" t="str">
            <v>from K.E. on 22.05.2026, from K.E. Paytm on 23.05.2026</v>
          </cell>
          <cell r="AF135">
            <v>61.774193548386393</v>
          </cell>
        </row>
        <row r="136">
          <cell r="B136" t="str">
            <v>SURENDRA (Cook)</v>
          </cell>
          <cell r="C136" t="str">
            <v>old</v>
          </cell>
          <cell r="D136" t="str">
            <v>COOK</v>
          </cell>
          <cell r="E136" t="str">
            <v>lal</v>
          </cell>
          <cell r="F136">
            <v>0</v>
          </cell>
          <cell r="G136">
            <v>30</v>
          </cell>
          <cell r="H136">
            <v>28</v>
          </cell>
          <cell r="I136">
            <v>2</v>
          </cell>
          <cell r="J136">
            <v>-1</v>
          </cell>
          <cell r="K136">
            <v>4</v>
          </cell>
          <cell r="M136">
            <v>4</v>
          </cell>
          <cell r="N136">
            <v>32</v>
          </cell>
          <cell r="P136">
            <v>30</v>
          </cell>
          <cell r="Q136">
            <v>2</v>
          </cell>
          <cell r="R136">
            <v>-1</v>
          </cell>
          <cell r="S136">
            <v>11500</v>
          </cell>
          <cell r="T136">
            <v>12500</v>
          </cell>
          <cell r="U136">
            <v>12500</v>
          </cell>
          <cell r="V136">
            <v>0</v>
          </cell>
          <cell r="W136">
            <v>0</v>
          </cell>
          <cell r="Y136">
            <v>12499.526881720434</v>
          </cell>
          <cell r="Z136">
            <v>12499.526881720434</v>
          </cell>
          <cell r="AA136">
            <v>24999.526881720434</v>
          </cell>
          <cell r="AC136">
            <v>24999.526881720434</v>
          </cell>
          <cell r="AD136">
            <v>25000</v>
          </cell>
          <cell r="AE136" t="str">
            <v>from K.E. on 22.05.2026</v>
          </cell>
          <cell r="AF136">
            <v>-0.4731182795658242</v>
          </cell>
        </row>
        <row r="137">
          <cell r="B137" t="str">
            <v>SURENDRA MEHTA</v>
          </cell>
          <cell r="C137" t="str">
            <v>new</v>
          </cell>
          <cell r="D137" t="str">
            <v>D/OP</v>
          </cell>
          <cell r="E137">
            <v>0</v>
          </cell>
          <cell r="F137">
            <v>0</v>
          </cell>
          <cell r="G137">
            <v>30</v>
          </cell>
          <cell r="H137">
            <v>0</v>
          </cell>
          <cell r="I137">
            <v>30</v>
          </cell>
          <cell r="J137">
            <v>0</v>
          </cell>
          <cell r="K137">
            <v>0</v>
          </cell>
          <cell r="M137">
            <v>0</v>
          </cell>
          <cell r="N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15000</v>
          </cell>
          <cell r="T137">
            <v>15000</v>
          </cell>
          <cell r="U137">
            <v>0</v>
          </cell>
          <cell r="V137">
            <v>0</v>
          </cell>
          <cell r="W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B138" t="str">
            <v>Suresh Mahto</v>
          </cell>
          <cell r="C138" t="str">
            <v>old</v>
          </cell>
          <cell r="D138" t="str">
            <v>supervisor</v>
          </cell>
          <cell r="E138" t="str">
            <v>Lal</v>
          </cell>
          <cell r="F138">
            <v>0</v>
          </cell>
          <cell r="G138">
            <v>30</v>
          </cell>
          <cell r="H138">
            <v>30</v>
          </cell>
          <cell r="I138">
            <v>0</v>
          </cell>
          <cell r="J138">
            <v>9</v>
          </cell>
          <cell r="K138">
            <v>4</v>
          </cell>
          <cell r="M138">
            <v>13</v>
          </cell>
          <cell r="N138">
            <v>43</v>
          </cell>
          <cell r="P138">
            <v>30</v>
          </cell>
          <cell r="Q138">
            <v>13</v>
          </cell>
          <cell r="R138">
            <v>0</v>
          </cell>
          <cell r="S138">
            <v>13500</v>
          </cell>
          <cell r="T138">
            <v>15500</v>
          </cell>
          <cell r="U138">
            <v>15499.999999999998</v>
          </cell>
          <cell r="V138">
            <v>20000</v>
          </cell>
          <cell r="W138">
            <v>20000</v>
          </cell>
          <cell r="Y138">
            <v>0</v>
          </cell>
          <cell r="Z138">
            <v>0</v>
          </cell>
          <cell r="AA138">
            <v>-4500.0000000000018</v>
          </cell>
          <cell r="AC138">
            <v>-4500.0000000000018</v>
          </cell>
          <cell r="AD138">
            <v>0</v>
          </cell>
          <cell r="AE138">
            <v>0</v>
          </cell>
          <cell r="AF138">
            <v>-4500.0000000000018</v>
          </cell>
        </row>
        <row r="139">
          <cell r="B139" t="str">
            <v>TALESHWAR MAHTO</v>
          </cell>
          <cell r="C139" t="str">
            <v>new</v>
          </cell>
          <cell r="D139" t="str">
            <v>OP</v>
          </cell>
          <cell r="E139" t="str">
            <v>lal</v>
          </cell>
          <cell r="F139">
            <v>0</v>
          </cell>
          <cell r="G139">
            <v>30</v>
          </cell>
          <cell r="H139">
            <v>28</v>
          </cell>
          <cell r="I139">
            <v>2</v>
          </cell>
          <cell r="J139">
            <v>-1</v>
          </cell>
          <cell r="K139">
            <v>4</v>
          </cell>
          <cell r="M139">
            <v>4</v>
          </cell>
          <cell r="N139">
            <v>32</v>
          </cell>
          <cell r="P139">
            <v>30</v>
          </cell>
          <cell r="Q139">
            <v>2</v>
          </cell>
          <cell r="R139">
            <v>-1</v>
          </cell>
          <cell r="S139">
            <v>15000</v>
          </cell>
          <cell r="T139">
            <v>17000</v>
          </cell>
          <cell r="U139">
            <v>17000</v>
          </cell>
          <cell r="V139">
            <v>0</v>
          </cell>
          <cell r="W139">
            <v>0</v>
          </cell>
          <cell r="Y139">
            <v>17000</v>
          </cell>
          <cell r="Z139">
            <v>17000</v>
          </cell>
          <cell r="AA139">
            <v>34000</v>
          </cell>
          <cell r="AC139">
            <v>34000</v>
          </cell>
          <cell r="AD139">
            <v>34000</v>
          </cell>
          <cell r="AE139" t="str">
            <v>paid from lalpania on 18.05.2026</v>
          </cell>
          <cell r="AF139">
            <v>0</v>
          </cell>
        </row>
        <row r="140">
          <cell r="B140" t="str">
            <v>Tarkeshwar Thakur</v>
          </cell>
          <cell r="C140" t="str">
            <v>old</v>
          </cell>
          <cell r="D140" t="str">
            <v>supervisor</v>
          </cell>
          <cell r="E140" t="str">
            <v>Tori/lal</v>
          </cell>
          <cell r="F140">
            <v>0</v>
          </cell>
          <cell r="G140">
            <v>30</v>
          </cell>
          <cell r="H140">
            <v>20</v>
          </cell>
          <cell r="I140">
            <v>10</v>
          </cell>
          <cell r="J140">
            <v>3</v>
          </cell>
          <cell r="K140">
            <v>3</v>
          </cell>
          <cell r="M140">
            <v>6</v>
          </cell>
          <cell r="N140">
            <v>26</v>
          </cell>
          <cell r="P140">
            <v>26</v>
          </cell>
          <cell r="Q140">
            <v>0</v>
          </cell>
          <cell r="R140">
            <v>0</v>
          </cell>
          <cell r="S140">
            <v>13500</v>
          </cell>
          <cell r="T140">
            <v>15500</v>
          </cell>
          <cell r="U140">
            <v>13433.333333333332</v>
          </cell>
          <cell r="V140">
            <v>0</v>
          </cell>
          <cell r="W140">
            <v>0</v>
          </cell>
          <cell r="Y140">
            <v>10220</v>
          </cell>
          <cell r="Z140">
            <v>10220</v>
          </cell>
          <cell r="AA140">
            <v>23653.333333333332</v>
          </cell>
          <cell r="AC140">
            <v>23653.333333333332</v>
          </cell>
          <cell r="AD140">
            <v>10000</v>
          </cell>
          <cell r="AE140" t="str">
            <v>Puja Ma'am on 08.05.2026</v>
          </cell>
          <cell r="AF140">
            <v>13653.333333333332</v>
          </cell>
        </row>
        <row r="141">
          <cell r="B141" t="str">
            <v>TEJU KARMALI</v>
          </cell>
          <cell r="C141" t="str">
            <v>new</v>
          </cell>
          <cell r="D141" t="str">
            <v>T/D</v>
          </cell>
          <cell r="E141">
            <v>0</v>
          </cell>
          <cell r="F141">
            <v>0</v>
          </cell>
          <cell r="G141">
            <v>30</v>
          </cell>
          <cell r="H141">
            <v>0</v>
          </cell>
          <cell r="I141">
            <v>30</v>
          </cell>
          <cell r="J141">
            <v>0</v>
          </cell>
          <cell r="K141">
            <v>0</v>
          </cell>
          <cell r="M141">
            <v>0</v>
          </cell>
          <cell r="N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14500</v>
          </cell>
          <cell r="T141">
            <v>16000</v>
          </cell>
          <cell r="U141">
            <v>0</v>
          </cell>
          <cell r="V141">
            <v>0</v>
          </cell>
          <cell r="W141">
            <v>0</v>
          </cell>
          <cell r="Y141">
            <v>0.46924731182843971</v>
          </cell>
          <cell r="Z141">
            <v>0.46924731182843971</v>
          </cell>
          <cell r="AA141">
            <v>0.46924731182843971</v>
          </cell>
          <cell r="AC141">
            <v>0.46924731182843971</v>
          </cell>
          <cell r="AD141">
            <v>0</v>
          </cell>
          <cell r="AE141">
            <v>0</v>
          </cell>
          <cell r="AF141">
            <v>0.46924731182843971</v>
          </cell>
        </row>
        <row r="142">
          <cell r="B142" t="str">
            <v>TULSI MAHTO</v>
          </cell>
          <cell r="C142" t="str">
            <v>new</v>
          </cell>
          <cell r="D142" t="str">
            <v>N/G</v>
          </cell>
          <cell r="E142">
            <v>0</v>
          </cell>
          <cell r="F142">
            <v>0</v>
          </cell>
          <cell r="G142">
            <v>30</v>
          </cell>
          <cell r="H142">
            <v>0</v>
          </cell>
          <cell r="I142">
            <v>30</v>
          </cell>
          <cell r="J142">
            <v>0</v>
          </cell>
          <cell r="K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8000</v>
          </cell>
          <cell r="T142">
            <v>9000</v>
          </cell>
          <cell r="U142">
            <v>0</v>
          </cell>
          <cell r="V142">
            <v>0</v>
          </cell>
          <cell r="W142">
            <v>0</v>
          </cell>
          <cell r="Y142">
            <v>65</v>
          </cell>
          <cell r="Z142">
            <v>65</v>
          </cell>
          <cell r="AA142">
            <v>65</v>
          </cell>
          <cell r="AC142">
            <v>65</v>
          </cell>
          <cell r="AD142">
            <v>0</v>
          </cell>
          <cell r="AE142">
            <v>0</v>
          </cell>
          <cell r="AF142">
            <v>65</v>
          </cell>
        </row>
        <row r="143">
          <cell r="B143" t="str">
            <v>TULSI SINGH</v>
          </cell>
          <cell r="C143" t="str">
            <v>new</v>
          </cell>
          <cell r="D143" t="str">
            <v>T/D</v>
          </cell>
          <cell r="E143">
            <v>0</v>
          </cell>
          <cell r="F143">
            <v>0</v>
          </cell>
          <cell r="G143">
            <v>30</v>
          </cell>
          <cell r="H143">
            <v>0</v>
          </cell>
          <cell r="I143">
            <v>30</v>
          </cell>
          <cell r="J143">
            <v>0</v>
          </cell>
          <cell r="K143">
            <v>0</v>
          </cell>
          <cell r="M143">
            <v>0</v>
          </cell>
          <cell r="N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14500</v>
          </cell>
          <cell r="T143">
            <v>16000</v>
          </cell>
          <cell r="U143">
            <v>0</v>
          </cell>
          <cell r="V143">
            <v>0</v>
          </cell>
          <cell r="W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B144" t="str">
            <v>TUPLAL MAHTO</v>
          </cell>
          <cell r="C144" t="str">
            <v>old</v>
          </cell>
          <cell r="D144" t="str">
            <v>T/D</v>
          </cell>
          <cell r="E144" t="str">
            <v>Tori/Lal</v>
          </cell>
          <cell r="F144">
            <v>0</v>
          </cell>
          <cell r="G144">
            <v>30</v>
          </cell>
          <cell r="H144">
            <v>25</v>
          </cell>
          <cell r="I144">
            <v>5</v>
          </cell>
          <cell r="J144">
            <v>4</v>
          </cell>
          <cell r="K144">
            <v>4</v>
          </cell>
          <cell r="M144">
            <v>8</v>
          </cell>
          <cell r="N144">
            <v>33</v>
          </cell>
          <cell r="P144">
            <v>30</v>
          </cell>
          <cell r="Q144">
            <v>3</v>
          </cell>
          <cell r="R144">
            <v>0</v>
          </cell>
          <cell r="S144">
            <v>14500</v>
          </cell>
          <cell r="T144">
            <v>16000</v>
          </cell>
          <cell r="U144">
            <v>16000.000000000002</v>
          </cell>
          <cell r="V144">
            <v>0</v>
          </cell>
          <cell r="W144">
            <v>0</v>
          </cell>
          <cell r="Y144">
            <v>11586.451612903227</v>
          </cell>
          <cell r="Z144">
            <v>11586.451612903227</v>
          </cell>
          <cell r="AA144">
            <v>27586.451612903227</v>
          </cell>
          <cell r="AC144">
            <v>27586.451612903227</v>
          </cell>
          <cell r="AD144">
            <v>27600</v>
          </cell>
          <cell r="AE144" t="str">
            <v>Paid from lalania on 18.05.2026</v>
          </cell>
          <cell r="AF144">
            <v>-13.548387096772785</v>
          </cell>
        </row>
        <row r="145">
          <cell r="B145" t="str">
            <v>UMACHARAN KARMALI (MITHILESH)</v>
          </cell>
          <cell r="C145" t="str">
            <v>old</v>
          </cell>
          <cell r="D145" t="str">
            <v>T/D</v>
          </cell>
          <cell r="E145" t="str">
            <v>Karo/Lal</v>
          </cell>
          <cell r="F145">
            <v>0</v>
          </cell>
          <cell r="G145">
            <v>30</v>
          </cell>
          <cell r="H145">
            <v>28</v>
          </cell>
          <cell r="I145">
            <v>2</v>
          </cell>
          <cell r="J145">
            <v>-4</v>
          </cell>
          <cell r="K145">
            <v>4</v>
          </cell>
          <cell r="M145">
            <v>4</v>
          </cell>
          <cell r="N145">
            <v>32</v>
          </cell>
          <cell r="O145">
            <v>2</v>
          </cell>
          <cell r="P145">
            <v>30</v>
          </cell>
          <cell r="Q145">
            <v>2</v>
          </cell>
          <cell r="R145">
            <v>-4</v>
          </cell>
          <cell r="S145">
            <v>14500</v>
          </cell>
          <cell r="T145">
            <v>16000</v>
          </cell>
          <cell r="U145">
            <v>16000.000000000002</v>
          </cell>
          <cell r="V145">
            <v>0</v>
          </cell>
          <cell r="W145">
            <v>0</v>
          </cell>
          <cell r="Y145">
            <v>10063.193548387098</v>
          </cell>
          <cell r="Z145">
            <v>10063.193548387098</v>
          </cell>
          <cell r="AA145">
            <v>26063.193548387098</v>
          </cell>
          <cell r="AC145">
            <v>26063.193548387098</v>
          </cell>
          <cell r="AD145">
            <v>26100</v>
          </cell>
          <cell r="AE145" t="str">
            <v>Paid from lalania on 18.05.2026</v>
          </cell>
          <cell r="AF145">
            <v>-36.806451612901583</v>
          </cell>
        </row>
        <row r="146">
          <cell r="B146" t="str">
            <v>UMESH CHORE</v>
          </cell>
          <cell r="C146" t="str">
            <v>new</v>
          </cell>
          <cell r="D146" t="str">
            <v>F.H</v>
          </cell>
          <cell r="E146">
            <v>0</v>
          </cell>
          <cell r="F146">
            <v>0</v>
          </cell>
          <cell r="G146">
            <v>30</v>
          </cell>
          <cell r="H146">
            <v>0</v>
          </cell>
          <cell r="I146">
            <v>30</v>
          </cell>
          <cell r="J146">
            <v>0</v>
          </cell>
          <cell r="K146">
            <v>0</v>
          </cell>
          <cell r="M146">
            <v>0</v>
          </cell>
          <cell r="N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8500</v>
          </cell>
          <cell r="T146">
            <v>9500</v>
          </cell>
          <cell r="U146">
            <v>0</v>
          </cell>
          <cell r="V146">
            <v>0</v>
          </cell>
          <cell r="W146">
            <v>0</v>
          </cell>
          <cell r="Y146">
            <v>4936</v>
          </cell>
          <cell r="Z146">
            <v>4936</v>
          </cell>
          <cell r="AA146">
            <v>4936</v>
          </cell>
          <cell r="AC146">
            <v>4936</v>
          </cell>
          <cell r="AD146">
            <v>0</v>
          </cell>
          <cell r="AE146">
            <v>0</v>
          </cell>
          <cell r="AF146">
            <v>4936</v>
          </cell>
        </row>
        <row r="147">
          <cell r="B147" t="str">
            <v>UTTAM KR. BHANDARI</v>
          </cell>
          <cell r="C147" t="str">
            <v>new</v>
          </cell>
          <cell r="D147" t="str">
            <v>Store Incharge</v>
          </cell>
          <cell r="E147">
            <v>0</v>
          </cell>
          <cell r="F147">
            <v>0</v>
          </cell>
          <cell r="G147">
            <v>30</v>
          </cell>
          <cell r="H147">
            <v>0</v>
          </cell>
          <cell r="I147">
            <v>30</v>
          </cell>
          <cell r="J147">
            <v>0</v>
          </cell>
          <cell r="K147">
            <v>0</v>
          </cell>
          <cell r="M147">
            <v>0</v>
          </cell>
          <cell r="N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9000</v>
          </cell>
          <cell r="T147">
            <v>9000</v>
          </cell>
          <cell r="U147">
            <v>0</v>
          </cell>
          <cell r="V147">
            <v>0</v>
          </cell>
          <cell r="W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B148" t="str">
            <v>VARUN THAKUR (SHARMA)</v>
          </cell>
          <cell r="C148" t="str">
            <v>old</v>
          </cell>
          <cell r="D148" t="str">
            <v>OP</v>
          </cell>
          <cell r="E148" t="str">
            <v>lal</v>
          </cell>
          <cell r="F148">
            <v>0</v>
          </cell>
          <cell r="G148">
            <v>30</v>
          </cell>
          <cell r="H148">
            <v>27</v>
          </cell>
          <cell r="I148">
            <v>3</v>
          </cell>
          <cell r="J148">
            <v>2</v>
          </cell>
          <cell r="K148">
            <v>4</v>
          </cell>
          <cell r="M148">
            <v>6</v>
          </cell>
          <cell r="N148">
            <v>33</v>
          </cell>
          <cell r="P148">
            <v>30</v>
          </cell>
          <cell r="Q148">
            <v>3</v>
          </cell>
          <cell r="R148">
            <v>0</v>
          </cell>
          <cell r="S148">
            <v>15500</v>
          </cell>
          <cell r="T148">
            <v>17500</v>
          </cell>
          <cell r="U148">
            <v>17500</v>
          </cell>
          <cell r="V148">
            <v>0</v>
          </cell>
          <cell r="W148">
            <v>0</v>
          </cell>
          <cell r="Y148">
            <v>11160</v>
          </cell>
          <cell r="Z148">
            <v>11160</v>
          </cell>
          <cell r="AA148">
            <v>28660</v>
          </cell>
          <cell r="AC148">
            <v>28660</v>
          </cell>
          <cell r="AD148">
            <v>28660</v>
          </cell>
          <cell r="AE148" t="str">
            <v>paid from lalpania on 18.05.2026</v>
          </cell>
          <cell r="AF148">
            <v>0</v>
          </cell>
        </row>
        <row r="149">
          <cell r="B149" t="str">
            <v>Vijay Prasad</v>
          </cell>
          <cell r="C149" t="str">
            <v>NEW</v>
          </cell>
          <cell r="D149" t="str">
            <v>supervisor</v>
          </cell>
          <cell r="E149" t="str">
            <v>Karo</v>
          </cell>
          <cell r="F149">
            <v>0</v>
          </cell>
          <cell r="G149">
            <v>30</v>
          </cell>
          <cell r="H149">
            <v>30</v>
          </cell>
          <cell r="I149">
            <v>0</v>
          </cell>
          <cell r="J149">
            <v>7</v>
          </cell>
          <cell r="K149">
            <v>4</v>
          </cell>
          <cell r="M149">
            <v>11</v>
          </cell>
          <cell r="N149">
            <v>41</v>
          </cell>
          <cell r="O149">
            <v>0</v>
          </cell>
          <cell r="P149">
            <v>30</v>
          </cell>
          <cell r="Q149">
            <v>11</v>
          </cell>
          <cell r="R149">
            <v>0</v>
          </cell>
          <cell r="S149">
            <v>9000</v>
          </cell>
          <cell r="T149">
            <v>10000</v>
          </cell>
          <cell r="U149">
            <v>10000</v>
          </cell>
          <cell r="V149">
            <v>0</v>
          </cell>
          <cell r="W149">
            <v>0</v>
          </cell>
          <cell r="Y149">
            <v>10000</v>
          </cell>
          <cell r="Z149">
            <v>10000</v>
          </cell>
          <cell r="AA149">
            <v>20000</v>
          </cell>
          <cell r="AC149">
            <v>20000</v>
          </cell>
          <cell r="AD149">
            <v>20000</v>
          </cell>
          <cell r="AE149" t="str">
            <v>from karo on 17.05.2026</v>
          </cell>
          <cell r="AF149">
            <v>0</v>
          </cell>
        </row>
        <row r="150">
          <cell r="B150" t="str">
            <v>VIKASH KUMAR</v>
          </cell>
          <cell r="C150" t="str">
            <v>new</v>
          </cell>
          <cell r="D150" t="str">
            <v>Polc. H</v>
          </cell>
          <cell r="E150">
            <v>0</v>
          </cell>
          <cell r="F150">
            <v>0</v>
          </cell>
          <cell r="G150">
            <v>30</v>
          </cell>
          <cell r="H150">
            <v>0</v>
          </cell>
          <cell r="I150">
            <v>30</v>
          </cell>
          <cell r="J150">
            <v>0</v>
          </cell>
          <cell r="K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8500</v>
          </cell>
          <cell r="T150">
            <v>9500</v>
          </cell>
          <cell r="U150">
            <v>0</v>
          </cell>
          <cell r="V150">
            <v>0</v>
          </cell>
          <cell r="W150">
            <v>0</v>
          </cell>
          <cell r="Y150">
            <v>4387.0967741935483</v>
          </cell>
          <cell r="Z150">
            <v>4387.0967741935483</v>
          </cell>
          <cell r="AA150">
            <v>4387.0967741935483</v>
          </cell>
          <cell r="AC150">
            <v>4387.0967741935483</v>
          </cell>
          <cell r="AD150">
            <v>0</v>
          </cell>
          <cell r="AE150">
            <v>0</v>
          </cell>
          <cell r="AF150">
            <v>4387.0967741935483</v>
          </cell>
        </row>
        <row r="151">
          <cell r="B151" t="str">
            <v>Vikash Soren</v>
          </cell>
          <cell r="C151" t="str">
            <v>new</v>
          </cell>
          <cell r="D151" t="str">
            <v>Polc. H</v>
          </cell>
          <cell r="E151">
            <v>0</v>
          </cell>
          <cell r="F151">
            <v>0</v>
          </cell>
          <cell r="G151">
            <v>30</v>
          </cell>
          <cell r="H151">
            <v>0</v>
          </cell>
          <cell r="I151">
            <v>30</v>
          </cell>
          <cell r="J151">
            <v>0</v>
          </cell>
          <cell r="K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8500</v>
          </cell>
          <cell r="T151">
            <v>9500</v>
          </cell>
          <cell r="U151">
            <v>0</v>
          </cell>
          <cell r="V151">
            <v>0</v>
          </cell>
          <cell r="W151">
            <v>0</v>
          </cell>
          <cell r="Y151">
            <v>0.6236559139797464</v>
          </cell>
          <cell r="Z151">
            <v>0.6236559139797464</v>
          </cell>
          <cell r="AA151">
            <v>0.6236559139797464</v>
          </cell>
          <cell r="AC151">
            <v>0.6236559139797464</v>
          </cell>
          <cell r="AD151">
            <v>0</v>
          </cell>
          <cell r="AE151">
            <v>0</v>
          </cell>
          <cell r="AF151">
            <v>0.6236559139797464</v>
          </cell>
        </row>
        <row r="152">
          <cell r="B152" t="str">
            <v>Vikram Prasad</v>
          </cell>
          <cell r="C152" t="str">
            <v>new</v>
          </cell>
          <cell r="D152" t="str">
            <v>ACNT</v>
          </cell>
          <cell r="E152" t="str">
            <v>Karo</v>
          </cell>
          <cell r="F152">
            <v>0</v>
          </cell>
          <cell r="G152">
            <v>30</v>
          </cell>
          <cell r="H152">
            <v>24</v>
          </cell>
          <cell r="I152">
            <v>6</v>
          </cell>
          <cell r="J152">
            <v>0</v>
          </cell>
          <cell r="K152">
            <v>3</v>
          </cell>
          <cell r="L152">
            <v>3</v>
          </cell>
          <cell r="M152">
            <v>6</v>
          </cell>
          <cell r="N152">
            <v>30</v>
          </cell>
          <cell r="O152">
            <v>6</v>
          </cell>
          <cell r="P152">
            <v>30</v>
          </cell>
          <cell r="Q152">
            <v>0</v>
          </cell>
          <cell r="R152">
            <v>-3</v>
          </cell>
          <cell r="S152">
            <v>19000</v>
          </cell>
          <cell r="T152">
            <v>23000</v>
          </cell>
          <cell r="U152">
            <v>23000</v>
          </cell>
          <cell r="V152">
            <v>11400</v>
          </cell>
          <cell r="W152">
            <v>11400</v>
          </cell>
          <cell r="Y152">
            <v>0</v>
          </cell>
          <cell r="Z152">
            <v>0</v>
          </cell>
          <cell r="AA152">
            <v>11600</v>
          </cell>
          <cell r="AC152">
            <v>11600</v>
          </cell>
          <cell r="AD152">
            <v>20067</v>
          </cell>
          <cell r="AE152" t="str">
            <v>From K.E on 12.05.2026, from karo on 25.05.2026</v>
          </cell>
          <cell r="AF152">
            <v>-8467</v>
          </cell>
        </row>
        <row r="153">
          <cell r="B153" t="str">
            <v>VIVEK SWAMI (VICKY)</v>
          </cell>
          <cell r="C153" t="str">
            <v>new</v>
          </cell>
          <cell r="D153" t="str">
            <v>supervisor</v>
          </cell>
          <cell r="E153">
            <v>0</v>
          </cell>
          <cell r="F153">
            <v>0</v>
          </cell>
          <cell r="G153">
            <v>30</v>
          </cell>
          <cell r="H153">
            <v>0</v>
          </cell>
          <cell r="I153">
            <v>30</v>
          </cell>
          <cell r="J153">
            <v>0</v>
          </cell>
          <cell r="K153">
            <v>0</v>
          </cell>
          <cell r="M153">
            <v>0</v>
          </cell>
          <cell r="N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9000</v>
          </cell>
          <cell r="T153">
            <v>10000</v>
          </cell>
          <cell r="U153">
            <v>0</v>
          </cell>
          <cell r="V153">
            <v>0</v>
          </cell>
          <cell r="W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B154" t="str">
            <v>YASIN</v>
          </cell>
          <cell r="C154">
            <v>0</v>
          </cell>
          <cell r="D154" t="str">
            <v>supervisor</v>
          </cell>
          <cell r="E154" t="str">
            <v>Konar</v>
          </cell>
          <cell r="F154">
            <v>0</v>
          </cell>
          <cell r="G154">
            <v>30</v>
          </cell>
          <cell r="H154">
            <v>30</v>
          </cell>
          <cell r="I154">
            <v>0</v>
          </cell>
          <cell r="J154">
            <v>10</v>
          </cell>
          <cell r="K154">
            <v>4</v>
          </cell>
          <cell r="M154">
            <v>14</v>
          </cell>
          <cell r="N154">
            <v>44</v>
          </cell>
          <cell r="O154">
            <v>0</v>
          </cell>
          <cell r="P154">
            <v>30</v>
          </cell>
          <cell r="Q154">
            <v>14</v>
          </cell>
          <cell r="R154">
            <v>0</v>
          </cell>
          <cell r="S154">
            <v>10000</v>
          </cell>
          <cell r="T154">
            <v>10000</v>
          </cell>
          <cell r="U154">
            <v>10000</v>
          </cell>
          <cell r="V154">
            <v>0</v>
          </cell>
          <cell r="W154">
            <v>0</v>
          </cell>
          <cell r="Y154">
            <v>10000</v>
          </cell>
          <cell r="Z154">
            <v>10000</v>
          </cell>
          <cell r="AA154">
            <v>20000</v>
          </cell>
          <cell r="AC154">
            <v>20000</v>
          </cell>
          <cell r="AD154">
            <v>20000</v>
          </cell>
          <cell r="AE154" t="str">
            <v>from karo on 17.05.2026</v>
          </cell>
          <cell r="AF154">
            <v>0</v>
          </cell>
        </row>
        <row r="155">
          <cell r="B155" t="str">
            <v>Dinesh Kr. Munda</v>
          </cell>
          <cell r="C155">
            <v>0</v>
          </cell>
          <cell r="D155" t="str">
            <v>JCB Helper</v>
          </cell>
          <cell r="E155">
            <v>0</v>
          </cell>
          <cell r="F155">
            <v>0</v>
          </cell>
          <cell r="G155">
            <v>30</v>
          </cell>
          <cell r="H155">
            <v>0</v>
          </cell>
          <cell r="I155">
            <v>30</v>
          </cell>
          <cell r="J155">
            <v>0</v>
          </cell>
          <cell r="K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8500</v>
          </cell>
          <cell r="T155">
            <v>9500</v>
          </cell>
          <cell r="U155">
            <v>0</v>
          </cell>
          <cell r="V155">
            <v>0</v>
          </cell>
          <cell r="W155">
            <v>0</v>
          </cell>
          <cell r="Y155">
            <v>842.36559139784913</v>
          </cell>
          <cell r="Z155">
            <v>842.36559139784913</v>
          </cell>
          <cell r="AA155">
            <v>842.36559139784913</v>
          </cell>
          <cell r="AC155">
            <v>842.36559139784913</v>
          </cell>
          <cell r="AD155">
            <v>0</v>
          </cell>
          <cell r="AE155">
            <v>0</v>
          </cell>
          <cell r="AF155">
            <v>842.36559139784913</v>
          </cell>
        </row>
        <row r="156">
          <cell r="B156" t="str">
            <v>Sharanjit Singh</v>
          </cell>
          <cell r="C156">
            <v>0</v>
          </cell>
          <cell r="D156" t="str">
            <v>SURVEYOR</v>
          </cell>
          <cell r="E156">
            <v>0</v>
          </cell>
          <cell r="F156">
            <v>0</v>
          </cell>
          <cell r="G156">
            <v>30</v>
          </cell>
          <cell r="H156">
            <v>0</v>
          </cell>
          <cell r="I156">
            <v>30</v>
          </cell>
          <cell r="J156">
            <v>0</v>
          </cell>
          <cell r="K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10000</v>
          </cell>
          <cell r="T156">
            <v>10000</v>
          </cell>
          <cell r="U156">
            <v>0</v>
          </cell>
          <cell r="V156">
            <v>0</v>
          </cell>
          <cell r="W156">
            <v>0</v>
          </cell>
          <cell r="Y156">
            <v>0.12903225806439877</v>
          </cell>
          <cell r="Z156">
            <v>0.12903225806439877</v>
          </cell>
          <cell r="AA156">
            <v>0.12903225806439877</v>
          </cell>
          <cell r="AC156">
            <v>0.12903225806439877</v>
          </cell>
          <cell r="AD156">
            <v>0</v>
          </cell>
          <cell r="AE156">
            <v>0</v>
          </cell>
          <cell r="AF156">
            <v>0.12903225806439877</v>
          </cell>
        </row>
        <row r="157">
          <cell r="B157" t="str">
            <v>Basudev Yadav</v>
          </cell>
          <cell r="C157">
            <v>0</v>
          </cell>
          <cell r="D157" t="str">
            <v>Polc.Op</v>
          </cell>
          <cell r="E157" t="str">
            <v>Karo/Lal</v>
          </cell>
          <cell r="F157">
            <v>0</v>
          </cell>
          <cell r="G157">
            <v>30</v>
          </cell>
          <cell r="H157">
            <v>18</v>
          </cell>
          <cell r="I157">
            <v>12</v>
          </cell>
          <cell r="J157">
            <v>-1</v>
          </cell>
          <cell r="K157">
            <v>2</v>
          </cell>
          <cell r="L157">
            <v>8</v>
          </cell>
          <cell r="M157">
            <v>10</v>
          </cell>
          <cell r="N157">
            <v>28</v>
          </cell>
          <cell r="O157">
            <v>10</v>
          </cell>
          <cell r="P157">
            <v>28</v>
          </cell>
          <cell r="Q157">
            <v>0</v>
          </cell>
          <cell r="R157">
            <v>-9</v>
          </cell>
          <cell r="S157">
            <v>17000</v>
          </cell>
          <cell r="T157">
            <v>19000</v>
          </cell>
          <cell r="U157">
            <v>17733.333333333336</v>
          </cell>
          <cell r="V157">
            <v>11000.172043010753</v>
          </cell>
          <cell r="W157">
            <v>11000.172043010753</v>
          </cell>
          <cell r="Y157">
            <v>0</v>
          </cell>
          <cell r="Z157">
            <v>0</v>
          </cell>
          <cell r="AA157">
            <v>6733.1612903225832</v>
          </cell>
          <cell r="AC157">
            <v>6733.1612903225832</v>
          </cell>
          <cell r="AD157">
            <v>6733</v>
          </cell>
          <cell r="AE157" t="str">
            <v>from karo on 23.05.2026</v>
          </cell>
          <cell r="AF157">
            <v>0.16129032258322695</v>
          </cell>
        </row>
        <row r="158">
          <cell r="B158" t="str">
            <v>Sachin Kr. Mahto</v>
          </cell>
          <cell r="C158">
            <v>0</v>
          </cell>
          <cell r="D158" t="str">
            <v>H</v>
          </cell>
          <cell r="E158" t="str">
            <v>Karo</v>
          </cell>
          <cell r="F158">
            <v>0</v>
          </cell>
          <cell r="G158">
            <v>30</v>
          </cell>
          <cell r="H158">
            <v>28</v>
          </cell>
          <cell r="I158">
            <v>2</v>
          </cell>
          <cell r="J158">
            <v>1</v>
          </cell>
          <cell r="K158">
            <v>4</v>
          </cell>
          <cell r="M158">
            <v>5</v>
          </cell>
          <cell r="N158">
            <v>33</v>
          </cell>
          <cell r="O158">
            <v>2</v>
          </cell>
          <cell r="P158">
            <v>30</v>
          </cell>
          <cell r="Q158">
            <v>3</v>
          </cell>
          <cell r="R158">
            <v>0</v>
          </cell>
          <cell r="S158">
            <v>8500</v>
          </cell>
          <cell r="T158">
            <v>9500</v>
          </cell>
          <cell r="U158">
            <v>9500</v>
          </cell>
          <cell r="V158">
            <v>0</v>
          </cell>
          <cell r="W158">
            <v>0</v>
          </cell>
          <cell r="Y158">
            <v>9499.9784946236541</v>
          </cell>
          <cell r="Z158">
            <v>9499.9784946236541</v>
          </cell>
          <cell r="AA158">
            <v>18999.978494623654</v>
          </cell>
          <cell r="AC158">
            <v>18999.978494623654</v>
          </cell>
          <cell r="AD158">
            <v>19000</v>
          </cell>
          <cell r="AE158" t="str">
            <v>from K.E. on 22.05.2026</v>
          </cell>
          <cell r="AF158">
            <v>-2.1505376345885452E-2</v>
          </cell>
        </row>
        <row r="159">
          <cell r="B159" t="str">
            <v>Bholenath Murmu</v>
          </cell>
          <cell r="C159" t="str">
            <v>New</v>
          </cell>
          <cell r="D159">
            <v>0</v>
          </cell>
          <cell r="E159">
            <v>0</v>
          </cell>
          <cell r="F159">
            <v>0</v>
          </cell>
          <cell r="G159">
            <v>30</v>
          </cell>
          <cell r="H159">
            <v>0</v>
          </cell>
          <cell r="I159">
            <v>30</v>
          </cell>
          <cell r="J159">
            <v>0</v>
          </cell>
          <cell r="K159">
            <v>0</v>
          </cell>
          <cell r="M159">
            <v>0</v>
          </cell>
          <cell r="N159">
            <v>0</v>
          </cell>
          <cell r="P159">
            <v>0</v>
          </cell>
          <cell r="Q159">
            <v>0</v>
          </cell>
          <cell r="R159">
            <v>0</v>
          </cell>
          <cell r="U159">
            <v>0</v>
          </cell>
          <cell r="V159">
            <v>0</v>
          </cell>
          <cell r="W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B160" t="str">
            <v>Mahesh Giri</v>
          </cell>
          <cell r="C160" t="str">
            <v>New</v>
          </cell>
          <cell r="D160" t="str">
            <v>N/G</v>
          </cell>
          <cell r="E160" t="str">
            <v>Karo</v>
          </cell>
          <cell r="F160">
            <v>0</v>
          </cell>
          <cell r="G160">
            <v>30</v>
          </cell>
          <cell r="H160">
            <v>26</v>
          </cell>
          <cell r="I160">
            <v>4</v>
          </cell>
          <cell r="J160">
            <v>0</v>
          </cell>
          <cell r="K160">
            <v>0</v>
          </cell>
          <cell r="M160">
            <v>0</v>
          </cell>
          <cell r="N160">
            <v>26</v>
          </cell>
          <cell r="O160">
            <v>0</v>
          </cell>
          <cell r="P160">
            <v>26</v>
          </cell>
          <cell r="Q160">
            <v>0</v>
          </cell>
          <cell r="R160">
            <v>0</v>
          </cell>
          <cell r="S160">
            <v>8000</v>
          </cell>
          <cell r="T160">
            <v>9000</v>
          </cell>
          <cell r="U160">
            <v>7800</v>
          </cell>
          <cell r="V160">
            <v>0</v>
          </cell>
          <cell r="W160">
            <v>0</v>
          </cell>
          <cell r="Y160">
            <v>7838.5192012288808</v>
          </cell>
          <cell r="Z160">
            <v>7838.5192012288808</v>
          </cell>
          <cell r="AA160">
            <v>15638.519201228881</v>
          </cell>
          <cell r="AC160">
            <v>15638.519201228881</v>
          </cell>
          <cell r="AD160">
            <v>15650</v>
          </cell>
          <cell r="AE160" t="str">
            <v>from karo on 17.05.2026</v>
          </cell>
          <cell r="AF160">
            <v>-11.480798771119225</v>
          </cell>
        </row>
        <row r="161">
          <cell r="B161" t="str">
            <v>Yogendra Mahto</v>
          </cell>
          <cell r="C161" t="str">
            <v>New</v>
          </cell>
          <cell r="D161" t="str">
            <v>supervisor</v>
          </cell>
          <cell r="E161" t="str">
            <v>Karo</v>
          </cell>
          <cell r="F161">
            <v>0</v>
          </cell>
          <cell r="G161">
            <v>30</v>
          </cell>
          <cell r="H161">
            <v>20</v>
          </cell>
          <cell r="I161">
            <v>10</v>
          </cell>
          <cell r="J161">
            <v>7</v>
          </cell>
          <cell r="K161">
            <v>3</v>
          </cell>
          <cell r="M161">
            <v>10</v>
          </cell>
          <cell r="N161">
            <v>30</v>
          </cell>
          <cell r="O161">
            <v>10</v>
          </cell>
          <cell r="P161">
            <v>30</v>
          </cell>
          <cell r="Q161">
            <v>0</v>
          </cell>
          <cell r="R161">
            <v>0</v>
          </cell>
          <cell r="S161">
            <v>15000</v>
          </cell>
          <cell r="T161">
            <v>15000</v>
          </cell>
          <cell r="U161">
            <v>15000</v>
          </cell>
          <cell r="V161">
            <v>0</v>
          </cell>
          <cell r="W161">
            <v>0</v>
          </cell>
          <cell r="Y161">
            <v>15000.258064516129</v>
          </cell>
          <cell r="Z161">
            <v>15000.258064516129</v>
          </cell>
          <cell r="AA161">
            <v>30000.258064516129</v>
          </cell>
          <cell r="AC161">
            <v>30000.258064516129</v>
          </cell>
          <cell r="AD161">
            <v>30000</v>
          </cell>
          <cell r="AE161" t="str">
            <v>from karo on 17.05.2026</v>
          </cell>
          <cell r="AF161">
            <v>0.25806451612879755</v>
          </cell>
        </row>
        <row r="162">
          <cell r="B162" t="str">
            <v>Binod Mahto</v>
          </cell>
          <cell r="C162" t="str">
            <v>New</v>
          </cell>
          <cell r="D162" t="str">
            <v>T/D</v>
          </cell>
          <cell r="E162" t="str">
            <v>Karo/Tori</v>
          </cell>
          <cell r="F162">
            <v>0</v>
          </cell>
          <cell r="G162">
            <v>30</v>
          </cell>
          <cell r="H162">
            <v>29</v>
          </cell>
          <cell r="I162">
            <v>1</v>
          </cell>
          <cell r="J162">
            <v>1</v>
          </cell>
          <cell r="K162">
            <v>4</v>
          </cell>
          <cell r="M162">
            <v>5</v>
          </cell>
          <cell r="N162">
            <v>34</v>
          </cell>
          <cell r="O162">
            <v>1</v>
          </cell>
          <cell r="P162">
            <v>30</v>
          </cell>
          <cell r="Q162">
            <v>4</v>
          </cell>
          <cell r="R162">
            <v>0</v>
          </cell>
          <cell r="S162">
            <v>14500</v>
          </cell>
          <cell r="T162">
            <v>16000</v>
          </cell>
          <cell r="U162">
            <v>16000.000000000002</v>
          </cell>
          <cell r="V162">
            <v>0</v>
          </cell>
          <cell r="W162">
            <v>0</v>
          </cell>
          <cell r="Y162">
            <v>16000.387096774197</v>
          </cell>
          <cell r="Z162">
            <v>16000.387096774197</v>
          </cell>
          <cell r="AA162">
            <v>32000.387096774197</v>
          </cell>
          <cell r="AC162">
            <v>32000.387096774197</v>
          </cell>
          <cell r="AD162">
            <v>32000</v>
          </cell>
          <cell r="AE162" t="str">
            <v>From Karo on 10.05.2026, from karo on 20.05.2026</v>
          </cell>
          <cell r="AF162">
            <v>0.3870967741968343</v>
          </cell>
        </row>
        <row r="163">
          <cell r="B163" t="str">
            <v>Sulendra Munda</v>
          </cell>
          <cell r="C163" t="str">
            <v>New</v>
          </cell>
          <cell r="D163" t="str">
            <v>Polc.H</v>
          </cell>
          <cell r="E163" t="str">
            <v>Karo</v>
          </cell>
          <cell r="F163">
            <v>0</v>
          </cell>
          <cell r="G163">
            <v>30</v>
          </cell>
          <cell r="H163">
            <v>28</v>
          </cell>
          <cell r="I163">
            <v>2</v>
          </cell>
          <cell r="J163">
            <v>2</v>
          </cell>
          <cell r="K163">
            <v>4</v>
          </cell>
          <cell r="M163">
            <v>6</v>
          </cell>
          <cell r="N163">
            <v>34</v>
          </cell>
          <cell r="O163">
            <v>2</v>
          </cell>
          <cell r="P163">
            <v>30</v>
          </cell>
          <cell r="Q163">
            <v>4</v>
          </cell>
          <cell r="R163">
            <v>0</v>
          </cell>
          <cell r="S163">
            <v>8500</v>
          </cell>
          <cell r="T163">
            <v>9500</v>
          </cell>
          <cell r="U163">
            <v>9500</v>
          </cell>
          <cell r="V163">
            <v>0</v>
          </cell>
          <cell r="W163">
            <v>0</v>
          </cell>
          <cell r="Y163">
            <v>7966.4086021505382</v>
          </cell>
          <cell r="Z163">
            <v>7966.4086021505382</v>
          </cell>
          <cell r="AA163">
            <v>17466.408602150539</v>
          </cell>
          <cell r="AC163">
            <v>17466.408602150539</v>
          </cell>
          <cell r="AD163">
            <v>17466</v>
          </cell>
          <cell r="AE163" t="str">
            <v>from karo on 17.05.2026</v>
          </cell>
          <cell r="AF163">
            <v>0.40860215053908178</v>
          </cell>
        </row>
        <row r="164">
          <cell r="B164" t="str">
            <v>Arun Kumar</v>
          </cell>
          <cell r="C164" t="str">
            <v>New</v>
          </cell>
          <cell r="D164" t="str">
            <v>H</v>
          </cell>
          <cell r="E164">
            <v>0</v>
          </cell>
          <cell r="F164">
            <v>0</v>
          </cell>
          <cell r="G164">
            <v>30</v>
          </cell>
          <cell r="H164">
            <v>0</v>
          </cell>
          <cell r="I164">
            <v>30</v>
          </cell>
          <cell r="J164">
            <v>0</v>
          </cell>
          <cell r="K164">
            <v>0</v>
          </cell>
          <cell r="M164">
            <v>0</v>
          </cell>
          <cell r="N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8500</v>
          </cell>
          <cell r="T164">
            <v>9500</v>
          </cell>
          <cell r="U164">
            <v>0</v>
          </cell>
          <cell r="V164">
            <v>0</v>
          </cell>
          <cell r="W164">
            <v>0</v>
          </cell>
          <cell r="Y164">
            <v>3666.6666666666652</v>
          </cell>
          <cell r="Z164">
            <v>3666.6666666666652</v>
          </cell>
          <cell r="AA164">
            <v>3666.6666666666652</v>
          </cell>
          <cell r="AC164">
            <v>3666.6666666666652</v>
          </cell>
          <cell r="AD164">
            <v>0</v>
          </cell>
          <cell r="AE164">
            <v>0</v>
          </cell>
          <cell r="AF164">
            <v>3666.6666666666652</v>
          </cell>
        </row>
        <row r="165">
          <cell r="B165" t="str">
            <v>Neeraj Vishkarma</v>
          </cell>
          <cell r="C165" t="str">
            <v>New</v>
          </cell>
          <cell r="D165" t="str">
            <v>BOLERO DR.</v>
          </cell>
          <cell r="E165" t="str">
            <v>Lal</v>
          </cell>
          <cell r="F165">
            <v>0</v>
          </cell>
          <cell r="G165">
            <v>30</v>
          </cell>
          <cell r="H165">
            <v>29</v>
          </cell>
          <cell r="I165">
            <v>1</v>
          </cell>
          <cell r="J165">
            <v>1</v>
          </cell>
          <cell r="K165">
            <v>4</v>
          </cell>
          <cell r="M165">
            <v>5</v>
          </cell>
          <cell r="N165">
            <v>34</v>
          </cell>
          <cell r="P165">
            <v>30</v>
          </cell>
          <cell r="Q165">
            <v>4</v>
          </cell>
          <cell r="R165">
            <v>0</v>
          </cell>
          <cell r="S165">
            <v>11000</v>
          </cell>
          <cell r="T165">
            <v>12000</v>
          </cell>
          <cell r="U165">
            <v>12000</v>
          </cell>
          <cell r="V165">
            <v>0</v>
          </cell>
          <cell r="W165">
            <v>0</v>
          </cell>
          <cell r="Y165">
            <v>11990.322580645159</v>
          </cell>
          <cell r="Z165">
            <v>11990.322580645159</v>
          </cell>
          <cell r="AA165">
            <v>23990.322580645159</v>
          </cell>
          <cell r="AC165">
            <v>23990.322580645159</v>
          </cell>
          <cell r="AD165">
            <v>28000</v>
          </cell>
          <cell r="AE165" t="str">
            <v>paid from lalpania on 18.05.2026</v>
          </cell>
          <cell r="AF165">
            <v>-4009.6774193548408</v>
          </cell>
        </row>
        <row r="166">
          <cell r="B166" t="str">
            <v>Bijay Soren</v>
          </cell>
          <cell r="C166" t="str">
            <v>New</v>
          </cell>
          <cell r="D166" t="str">
            <v>T.Help</v>
          </cell>
          <cell r="E166">
            <v>0</v>
          </cell>
          <cell r="F166">
            <v>0</v>
          </cell>
          <cell r="G166">
            <v>30</v>
          </cell>
          <cell r="H166">
            <v>0</v>
          </cell>
          <cell r="I166">
            <v>30</v>
          </cell>
          <cell r="J166">
            <v>0</v>
          </cell>
          <cell r="K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8500</v>
          </cell>
          <cell r="T166">
            <v>9500</v>
          </cell>
          <cell r="U166">
            <v>0</v>
          </cell>
          <cell r="V166">
            <v>0.32258064516099694</v>
          </cell>
          <cell r="W166">
            <v>0.32258064516099694</v>
          </cell>
          <cell r="Y166">
            <v>0</v>
          </cell>
          <cell r="Z166">
            <v>0</v>
          </cell>
          <cell r="AA166">
            <v>-0.32258064516099694</v>
          </cell>
          <cell r="AC166">
            <v>-0.32258064516099694</v>
          </cell>
          <cell r="AD166">
            <v>0</v>
          </cell>
          <cell r="AE166">
            <v>0</v>
          </cell>
          <cell r="AF166">
            <v>-0.32258064516099694</v>
          </cell>
        </row>
        <row r="167">
          <cell r="B167" t="str">
            <v>Samir Choudhary</v>
          </cell>
          <cell r="C167" t="str">
            <v>New</v>
          </cell>
          <cell r="D167" t="str">
            <v>Civil Engineer</v>
          </cell>
          <cell r="E167" t="str">
            <v>Karo</v>
          </cell>
          <cell r="F167">
            <v>0</v>
          </cell>
          <cell r="G167">
            <v>30</v>
          </cell>
          <cell r="H167">
            <v>28</v>
          </cell>
          <cell r="I167">
            <v>2</v>
          </cell>
          <cell r="J167">
            <v>-9</v>
          </cell>
          <cell r="K167">
            <v>4</v>
          </cell>
          <cell r="M167">
            <v>4</v>
          </cell>
          <cell r="N167">
            <v>32</v>
          </cell>
          <cell r="O167">
            <v>2</v>
          </cell>
          <cell r="P167">
            <v>30</v>
          </cell>
          <cell r="Q167">
            <v>2</v>
          </cell>
          <cell r="R167">
            <v>-9</v>
          </cell>
          <cell r="S167">
            <v>11000</v>
          </cell>
          <cell r="T167">
            <v>15000</v>
          </cell>
          <cell r="U167">
            <v>15000</v>
          </cell>
          <cell r="V167">
            <v>0</v>
          </cell>
          <cell r="W167">
            <v>0</v>
          </cell>
          <cell r="Y167">
            <v>7256.7741935483882</v>
          </cell>
          <cell r="Z167">
            <v>7256.7741935483882</v>
          </cell>
          <cell r="AA167">
            <v>22256.774193548386</v>
          </cell>
          <cell r="AC167">
            <v>22256.774193548386</v>
          </cell>
          <cell r="AD167">
            <v>22260</v>
          </cell>
          <cell r="AE167" t="str">
            <v>from karo on 21.05.2026</v>
          </cell>
          <cell r="AF167">
            <v>-3.2258064516136074</v>
          </cell>
        </row>
        <row r="168">
          <cell r="B168" t="str">
            <v>Mantu Ganjhu</v>
          </cell>
          <cell r="C168" t="str">
            <v>New</v>
          </cell>
          <cell r="D168" t="str">
            <v>Polc.JCB Operator</v>
          </cell>
          <cell r="E168" t="str">
            <v>Karo</v>
          </cell>
          <cell r="F168">
            <v>0</v>
          </cell>
          <cell r="G168">
            <v>30</v>
          </cell>
          <cell r="H168">
            <v>0</v>
          </cell>
          <cell r="I168">
            <v>30</v>
          </cell>
          <cell r="J168">
            <v>-2</v>
          </cell>
          <cell r="K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-2</v>
          </cell>
          <cell r="R168">
            <v>-2</v>
          </cell>
          <cell r="S168">
            <v>14500</v>
          </cell>
          <cell r="T168">
            <v>15500</v>
          </cell>
          <cell r="U168">
            <v>0</v>
          </cell>
          <cell r="V168">
            <v>0</v>
          </cell>
          <cell r="W168">
            <v>0</v>
          </cell>
          <cell r="Y168">
            <v>5496.6666666666642</v>
          </cell>
          <cell r="Z168">
            <v>5496.6666666666642</v>
          </cell>
          <cell r="AA168">
            <v>5496.6666666666642</v>
          </cell>
          <cell r="AC168">
            <v>5496.6666666666642</v>
          </cell>
          <cell r="AD168">
            <v>5500</v>
          </cell>
          <cell r="AE168" t="str">
            <v>from karo on 17.05.2026</v>
          </cell>
          <cell r="AF168">
            <v>-3.3333333333357587</v>
          </cell>
        </row>
        <row r="169">
          <cell r="B169" t="str">
            <v>Dwaraka Mahto</v>
          </cell>
          <cell r="C169" t="str">
            <v>New</v>
          </cell>
          <cell r="D169" t="str">
            <v>T.Driver</v>
          </cell>
          <cell r="E169">
            <v>0</v>
          </cell>
          <cell r="F169">
            <v>0</v>
          </cell>
          <cell r="G169">
            <v>30</v>
          </cell>
          <cell r="H169">
            <v>0</v>
          </cell>
          <cell r="I169">
            <v>30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14500</v>
          </cell>
          <cell r="T169">
            <v>16000</v>
          </cell>
          <cell r="U169">
            <v>0</v>
          </cell>
          <cell r="V169">
            <v>0</v>
          </cell>
          <cell r="W169">
            <v>0</v>
          </cell>
          <cell r="Y169">
            <v>483.33333333333331</v>
          </cell>
          <cell r="Z169">
            <v>483.33333333333331</v>
          </cell>
          <cell r="AA169">
            <v>483.33333333333331</v>
          </cell>
          <cell r="AC169">
            <v>483.33333333333331</v>
          </cell>
          <cell r="AD169">
            <v>0</v>
          </cell>
          <cell r="AE169">
            <v>0</v>
          </cell>
          <cell r="AF169">
            <v>483.33333333333331</v>
          </cell>
        </row>
        <row r="170">
          <cell r="B170" t="str">
            <v>Vicky Yadav</v>
          </cell>
          <cell r="C170" t="str">
            <v>New</v>
          </cell>
          <cell r="D170" t="str">
            <v>Fluori Help</v>
          </cell>
          <cell r="E170">
            <v>0</v>
          </cell>
          <cell r="F170">
            <v>0</v>
          </cell>
          <cell r="G170">
            <v>30</v>
          </cell>
          <cell r="H170">
            <v>0</v>
          </cell>
          <cell r="I170">
            <v>30</v>
          </cell>
          <cell r="J170">
            <v>0</v>
          </cell>
          <cell r="K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8500</v>
          </cell>
          <cell r="T170">
            <v>9500</v>
          </cell>
          <cell r="U170">
            <v>0</v>
          </cell>
          <cell r="V170">
            <v>9.0949470177292824E-13</v>
          </cell>
          <cell r="W170">
            <v>9.0949470177292824E-13</v>
          </cell>
          <cell r="Y170">
            <v>0</v>
          </cell>
          <cell r="Z170">
            <v>0</v>
          </cell>
          <cell r="AA170">
            <v>-9.0949470177292824E-13</v>
          </cell>
          <cell r="AC170">
            <v>-9.0949470177292824E-13</v>
          </cell>
          <cell r="AD170">
            <v>0</v>
          </cell>
          <cell r="AE170">
            <v>0</v>
          </cell>
          <cell r="AF170">
            <v>-9.0949470177292824E-13</v>
          </cell>
        </row>
        <row r="171">
          <cell r="B171" t="str">
            <v>Nandan Ganjhu</v>
          </cell>
          <cell r="C171" t="str">
            <v>New</v>
          </cell>
          <cell r="D171" t="str">
            <v>JCB Help</v>
          </cell>
          <cell r="E171" t="str">
            <v>Karo</v>
          </cell>
          <cell r="F171">
            <v>0</v>
          </cell>
          <cell r="G171">
            <v>30</v>
          </cell>
          <cell r="H171">
            <v>28</v>
          </cell>
          <cell r="I171">
            <v>2</v>
          </cell>
          <cell r="J171">
            <v>2</v>
          </cell>
          <cell r="K171">
            <v>4</v>
          </cell>
          <cell r="M171">
            <v>6</v>
          </cell>
          <cell r="N171">
            <v>34</v>
          </cell>
          <cell r="O171">
            <v>2</v>
          </cell>
          <cell r="P171">
            <v>30</v>
          </cell>
          <cell r="Q171">
            <v>4</v>
          </cell>
          <cell r="R171">
            <v>0</v>
          </cell>
          <cell r="S171">
            <v>8500</v>
          </cell>
          <cell r="T171">
            <v>9500</v>
          </cell>
          <cell r="U171">
            <v>9500</v>
          </cell>
          <cell r="V171">
            <v>0</v>
          </cell>
          <cell r="W171">
            <v>0</v>
          </cell>
          <cell r="Y171">
            <v>9499.4838709677424</v>
          </cell>
          <cell r="Z171">
            <v>9499.4838709677424</v>
          </cell>
          <cell r="AA171">
            <v>18999.483870967742</v>
          </cell>
          <cell r="AC171">
            <v>18999.483870967742</v>
          </cell>
          <cell r="AD171">
            <v>19000</v>
          </cell>
          <cell r="AE171" t="str">
            <v>from karo on 17.05.2026</v>
          </cell>
          <cell r="AF171">
            <v>-0.5161290322575951</v>
          </cell>
        </row>
        <row r="172">
          <cell r="B172" t="str">
            <v>Satish Mahto</v>
          </cell>
          <cell r="C172" t="str">
            <v>New</v>
          </cell>
          <cell r="D172" t="str">
            <v>H</v>
          </cell>
          <cell r="E172" t="str">
            <v>lal</v>
          </cell>
          <cell r="F172">
            <v>0</v>
          </cell>
          <cell r="G172">
            <v>30</v>
          </cell>
          <cell r="H172">
            <v>20</v>
          </cell>
          <cell r="I172">
            <v>10</v>
          </cell>
          <cell r="J172">
            <v>0</v>
          </cell>
          <cell r="K172">
            <v>3</v>
          </cell>
          <cell r="M172">
            <v>3</v>
          </cell>
          <cell r="N172">
            <v>23</v>
          </cell>
          <cell r="P172">
            <v>23</v>
          </cell>
          <cell r="Q172">
            <v>0</v>
          </cell>
          <cell r="R172">
            <v>0</v>
          </cell>
          <cell r="S172">
            <v>8500</v>
          </cell>
          <cell r="T172">
            <v>9500</v>
          </cell>
          <cell r="U172">
            <v>7283.3333333333339</v>
          </cell>
          <cell r="V172">
            <v>0</v>
          </cell>
          <cell r="W172">
            <v>0</v>
          </cell>
          <cell r="Y172">
            <v>6129.1290322580608</v>
          </cell>
          <cell r="Z172">
            <v>6129.1290322580608</v>
          </cell>
          <cell r="AA172">
            <v>13412.462365591395</v>
          </cell>
          <cell r="AC172">
            <v>13412.462365591395</v>
          </cell>
          <cell r="AD172">
            <v>13500</v>
          </cell>
          <cell r="AE172" t="str">
            <v>paid from lalpania on 18.05.2026</v>
          </cell>
          <cell r="AF172">
            <v>-87.5376344086053</v>
          </cell>
        </row>
        <row r="173">
          <cell r="B173" t="str">
            <v>Janardhan Mahto</v>
          </cell>
          <cell r="C173" t="str">
            <v>New</v>
          </cell>
          <cell r="D173" t="str">
            <v>supervisor</v>
          </cell>
          <cell r="E173">
            <v>0</v>
          </cell>
          <cell r="F173">
            <v>0</v>
          </cell>
          <cell r="G173">
            <v>30</v>
          </cell>
          <cell r="H173">
            <v>0</v>
          </cell>
          <cell r="I173">
            <v>30</v>
          </cell>
          <cell r="J173">
            <v>0</v>
          </cell>
          <cell r="K173">
            <v>0</v>
          </cell>
          <cell r="M173">
            <v>0</v>
          </cell>
          <cell r="N173">
            <v>0</v>
          </cell>
          <cell r="P173">
            <v>0</v>
          </cell>
          <cell r="Q173">
            <v>0</v>
          </cell>
          <cell r="R173">
            <v>0</v>
          </cell>
          <cell r="U173">
            <v>0</v>
          </cell>
          <cell r="V173">
            <v>0</v>
          </cell>
          <cell r="W173">
            <v>0</v>
          </cell>
          <cell r="Y173">
            <v>0</v>
          </cell>
          <cell r="Z173">
            <v>0</v>
          </cell>
          <cell r="AA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B174" t="str">
            <v>Bhagirath Mahto</v>
          </cell>
          <cell r="C174" t="str">
            <v>New</v>
          </cell>
          <cell r="D174" t="str">
            <v>T/D</v>
          </cell>
          <cell r="E174">
            <v>0</v>
          </cell>
          <cell r="F174">
            <v>0</v>
          </cell>
          <cell r="G174">
            <v>30</v>
          </cell>
          <cell r="H174">
            <v>0</v>
          </cell>
          <cell r="I174">
            <v>30</v>
          </cell>
          <cell r="J174">
            <v>0</v>
          </cell>
          <cell r="K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14500</v>
          </cell>
          <cell r="T174">
            <v>16000</v>
          </cell>
          <cell r="U174">
            <v>0</v>
          </cell>
          <cell r="V174">
            <v>0</v>
          </cell>
          <cell r="W174">
            <v>0</v>
          </cell>
          <cell r="Y174">
            <v>133.81720430107634</v>
          </cell>
          <cell r="Z174">
            <v>133.81720430107634</v>
          </cell>
          <cell r="AA174">
            <v>133.81720430107634</v>
          </cell>
          <cell r="AC174">
            <v>133.81720430107634</v>
          </cell>
          <cell r="AD174">
            <v>0</v>
          </cell>
          <cell r="AE174">
            <v>0</v>
          </cell>
          <cell r="AF174">
            <v>133.81720430107634</v>
          </cell>
        </row>
        <row r="175">
          <cell r="B175" t="str">
            <v>Niraj Kumar Singh</v>
          </cell>
          <cell r="C175" t="str">
            <v>New</v>
          </cell>
          <cell r="D175" t="str">
            <v>supervisor</v>
          </cell>
          <cell r="E175" t="str">
            <v>Karo</v>
          </cell>
          <cell r="F175">
            <v>0</v>
          </cell>
          <cell r="G175">
            <v>30</v>
          </cell>
          <cell r="H175">
            <v>30</v>
          </cell>
          <cell r="I175">
            <v>0</v>
          </cell>
          <cell r="J175">
            <v>-29</v>
          </cell>
          <cell r="K175">
            <v>4</v>
          </cell>
          <cell r="M175">
            <v>4</v>
          </cell>
          <cell r="N175">
            <v>34</v>
          </cell>
          <cell r="O175">
            <v>0</v>
          </cell>
          <cell r="P175">
            <v>30</v>
          </cell>
          <cell r="Q175">
            <v>4</v>
          </cell>
          <cell r="R175">
            <v>-29</v>
          </cell>
          <cell r="S175">
            <v>25000</v>
          </cell>
          <cell r="T175">
            <v>25000</v>
          </cell>
          <cell r="U175">
            <v>25000</v>
          </cell>
          <cell r="V175">
            <v>0</v>
          </cell>
          <cell r="W175">
            <v>0</v>
          </cell>
          <cell r="Y175">
            <v>6582</v>
          </cell>
          <cell r="Z175">
            <v>6582</v>
          </cell>
          <cell r="AA175">
            <v>31582</v>
          </cell>
          <cell r="AC175">
            <v>31582</v>
          </cell>
          <cell r="AD175">
            <v>46582</v>
          </cell>
          <cell r="AE175" t="str">
            <v>From Karo on 03.05.2026, from karo on 17.05.2026, from karo on 17.05.2026</v>
          </cell>
          <cell r="AF175">
            <v>-15000</v>
          </cell>
        </row>
        <row r="176">
          <cell r="B176" t="str">
            <v>Roshan Rawani</v>
          </cell>
          <cell r="C176" t="str">
            <v>New</v>
          </cell>
          <cell r="D176" t="str">
            <v>T/H</v>
          </cell>
          <cell r="E176" t="str">
            <v>Karo/Tori</v>
          </cell>
          <cell r="F176">
            <v>0</v>
          </cell>
          <cell r="G176">
            <v>30</v>
          </cell>
          <cell r="H176">
            <v>25</v>
          </cell>
          <cell r="I176">
            <v>5</v>
          </cell>
          <cell r="J176">
            <v>-3</v>
          </cell>
          <cell r="K176">
            <v>4</v>
          </cell>
          <cell r="M176">
            <v>4</v>
          </cell>
          <cell r="N176">
            <v>29</v>
          </cell>
          <cell r="O176">
            <v>4</v>
          </cell>
          <cell r="P176">
            <v>29</v>
          </cell>
          <cell r="Q176">
            <v>0</v>
          </cell>
          <cell r="R176">
            <v>-3</v>
          </cell>
          <cell r="S176">
            <v>8500</v>
          </cell>
          <cell r="T176">
            <v>9500</v>
          </cell>
          <cell r="U176">
            <v>9183.3333333333339</v>
          </cell>
          <cell r="V176">
            <v>0</v>
          </cell>
          <cell r="W176">
            <v>0</v>
          </cell>
          <cell r="Y176">
            <v>8274.5376344086017</v>
          </cell>
          <cell r="Z176">
            <v>8274.5376344086017</v>
          </cell>
          <cell r="AA176">
            <v>17457.870967741936</v>
          </cell>
          <cell r="AC176">
            <v>17457.870967741936</v>
          </cell>
          <cell r="AD176">
            <v>17460</v>
          </cell>
          <cell r="AE176" t="str">
            <v>from Karo on 02.05.2026, from karo on 17.05.2026</v>
          </cell>
          <cell r="AF176">
            <v>-2.1290322580643988</v>
          </cell>
        </row>
        <row r="177">
          <cell r="B177" t="str">
            <v>Sumit Kumar Singh</v>
          </cell>
          <cell r="AD177">
            <v>0</v>
          </cell>
          <cell r="AE177">
            <v>0</v>
          </cell>
        </row>
        <row r="178">
          <cell r="B178" t="str">
            <v>Lalji Thakur</v>
          </cell>
          <cell r="C178" t="str">
            <v>New</v>
          </cell>
          <cell r="D178" t="str">
            <v>T/D</v>
          </cell>
          <cell r="E178" t="str">
            <v>Karo/Tori</v>
          </cell>
          <cell r="F178">
            <v>0</v>
          </cell>
          <cell r="G178">
            <v>30</v>
          </cell>
          <cell r="H178">
            <v>7</v>
          </cell>
          <cell r="I178">
            <v>23</v>
          </cell>
          <cell r="J178">
            <v>6</v>
          </cell>
          <cell r="K178">
            <v>0</v>
          </cell>
          <cell r="M178">
            <v>6</v>
          </cell>
          <cell r="N178">
            <v>13</v>
          </cell>
          <cell r="O178">
            <v>6</v>
          </cell>
          <cell r="P178">
            <v>13</v>
          </cell>
          <cell r="Q178">
            <v>0</v>
          </cell>
          <cell r="R178">
            <v>0</v>
          </cell>
          <cell r="T178">
            <v>16000</v>
          </cell>
          <cell r="U178">
            <v>6933.3333333333339</v>
          </cell>
          <cell r="V178">
            <v>0</v>
          </cell>
          <cell r="W178">
            <v>0</v>
          </cell>
          <cell r="Y178">
            <v>516.12903225806451</v>
          </cell>
          <cell r="Z178">
            <v>516.12903225806451</v>
          </cell>
          <cell r="AA178">
            <v>7449.4623655913983</v>
          </cell>
          <cell r="AC178">
            <v>7449.4623655913983</v>
          </cell>
          <cell r="AD178">
            <v>7450</v>
          </cell>
          <cell r="AE178" t="str">
            <v>from karo on 20.05.2026</v>
          </cell>
          <cell r="AF178">
            <v>-0.53763440860166156</v>
          </cell>
        </row>
        <row r="179">
          <cell r="B179" t="str">
            <v>Ramesh Kumar</v>
          </cell>
          <cell r="C179" t="str">
            <v>New</v>
          </cell>
          <cell r="D179" t="str">
            <v>T/H</v>
          </cell>
          <cell r="E179">
            <v>0</v>
          </cell>
          <cell r="F179">
            <v>0</v>
          </cell>
          <cell r="G179">
            <v>30</v>
          </cell>
          <cell r="H179">
            <v>0</v>
          </cell>
          <cell r="I179">
            <v>30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P179">
            <v>0</v>
          </cell>
          <cell r="Q179">
            <v>0</v>
          </cell>
          <cell r="R179">
            <v>0</v>
          </cell>
          <cell r="T179">
            <v>8500</v>
          </cell>
          <cell r="U179">
            <v>0</v>
          </cell>
          <cell r="V179">
            <v>0</v>
          </cell>
          <cell r="W179">
            <v>0</v>
          </cell>
          <cell r="Y179">
            <v>0.66666666666651508</v>
          </cell>
          <cell r="Z179">
            <v>0.66666666666651508</v>
          </cell>
          <cell r="AA179">
            <v>0.66666666666651508</v>
          </cell>
          <cell r="AC179">
            <v>0.66666666666651508</v>
          </cell>
          <cell r="AD179">
            <v>0</v>
          </cell>
          <cell r="AE179">
            <v>0</v>
          </cell>
          <cell r="AF179">
            <v>0.66666666666651508</v>
          </cell>
        </row>
        <row r="180">
          <cell r="B180" t="str">
            <v>Shivam Rajak</v>
          </cell>
          <cell r="C180" t="str">
            <v>New</v>
          </cell>
          <cell r="D180" t="str">
            <v>COOK</v>
          </cell>
          <cell r="E180">
            <v>0</v>
          </cell>
          <cell r="F180">
            <v>0</v>
          </cell>
          <cell r="G180">
            <v>30</v>
          </cell>
          <cell r="H180">
            <v>0</v>
          </cell>
          <cell r="I180">
            <v>30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P180">
            <v>0</v>
          </cell>
          <cell r="Q180">
            <v>0</v>
          </cell>
          <cell r="R180">
            <v>0</v>
          </cell>
          <cell r="T180">
            <v>11000</v>
          </cell>
          <cell r="U180">
            <v>0</v>
          </cell>
          <cell r="V180">
            <v>3.2258064517009188E-2</v>
          </cell>
          <cell r="W180">
            <v>3.2258064517009188E-2</v>
          </cell>
          <cell r="Y180">
            <v>0</v>
          </cell>
          <cell r="Z180">
            <v>0</v>
          </cell>
          <cell r="AA180">
            <v>-3.2258064517009188E-2</v>
          </cell>
          <cell r="AC180">
            <v>-3.2258064517009188E-2</v>
          </cell>
          <cell r="AD180">
            <v>0</v>
          </cell>
          <cell r="AE180">
            <v>0</v>
          </cell>
          <cell r="AF180">
            <v>-3.2258064517009188E-2</v>
          </cell>
        </row>
        <row r="181">
          <cell r="B181" t="str">
            <v>Sudhir Kisku</v>
          </cell>
          <cell r="C181" t="str">
            <v>New</v>
          </cell>
          <cell r="D181" t="str">
            <v>T/H</v>
          </cell>
          <cell r="E181" t="str">
            <v>Karo</v>
          </cell>
          <cell r="F181">
            <v>0</v>
          </cell>
          <cell r="G181">
            <v>30</v>
          </cell>
          <cell r="H181">
            <v>20</v>
          </cell>
          <cell r="I181">
            <v>10</v>
          </cell>
          <cell r="J181">
            <v>0</v>
          </cell>
          <cell r="K181">
            <v>3</v>
          </cell>
          <cell r="M181">
            <v>3</v>
          </cell>
          <cell r="N181">
            <v>23</v>
          </cell>
          <cell r="O181">
            <v>3</v>
          </cell>
          <cell r="P181">
            <v>23</v>
          </cell>
          <cell r="Q181">
            <v>0</v>
          </cell>
          <cell r="R181">
            <v>0</v>
          </cell>
          <cell r="T181">
            <v>8500</v>
          </cell>
          <cell r="U181">
            <v>6516.6666666666661</v>
          </cell>
          <cell r="V181">
            <v>0</v>
          </cell>
          <cell r="W181">
            <v>0</v>
          </cell>
          <cell r="Y181">
            <v>677.0322580645161</v>
          </cell>
          <cell r="Z181">
            <v>677.0322580645161</v>
          </cell>
          <cell r="AA181">
            <v>7193.6989247311822</v>
          </cell>
          <cell r="AC181">
            <v>7193.6989247311822</v>
          </cell>
          <cell r="AD181">
            <v>7200</v>
          </cell>
          <cell r="AE181" t="str">
            <v>from karo on 17.05.2026</v>
          </cell>
          <cell r="AF181">
            <v>-6.30107526881784</v>
          </cell>
        </row>
        <row r="182">
          <cell r="B182" t="str">
            <v>Sokindra Kumar</v>
          </cell>
          <cell r="C182" t="str">
            <v>New</v>
          </cell>
          <cell r="D182" t="str">
            <v>supervisor</v>
          </cell>
          <cell r="E182">
            <v>0</v>
          </cell>
          <cell r="F182">
            <v>0</v>
          </cell>
          <cell r="G182">
            <v>30</v>
          </cell>
          <cell r="H182">
            <v>0</v>
          </cell>
          <cell r="I182">
            <v>30</v>
          </cell>
          <cell r="J182">
            <v>0</v>
          </cell>
          <cell r="K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T182">
            <v>12000</v>
          </cell>
          <cell r="U182">
            <v>0</v>
          </cell>
          <cell r="V182">
            <v>0</v>
          </cell>
          <cell r="W182">
            <v>0</v>
          </cell>
          <cell r="Y182">
            <v>9.6774193549208576E-2</v>
          </cell>
          <cell r="Z182">
            <v>9.6774193549208576E-2</v>
          </cell>
          <cell r="AA182">
            <v>9.6774193549208576E-2</v>
          </cell>
          <cell r="AC182">
            <v>9.6774193549208576E-2</v>
          </cell>
          <cell r="AD182">
            <v>0</v>
          </cell>
          <cell r="AE182">
            <v>0</v>
          </cell>
          <cell r="AF182">
            <v>9.6774193549208576E-2</v>
          </cell>
        </row>
        <row r="183">
          <cell r="B183" t="str">
            <v>Aman Karmali</v>
          </cell>
          <cell r="C183" t="str">
            <v>New</v>
          </cell>
          <cell r="D183" t="str">
            <v>Hel.</v>
          </cell>
          <cell r="E183" t="str">
            <v>lal</v>
          </cell>
          <cell r="F183">
            <v>0</v>
          </cell>
          <cell r="G183">
            <v>30</v>
          </cell>
          <cell r="H183">
            <v>17</v>
          </cell>
          <cell r="I183">
            <v>13</v>
          </cell>
          <cell r="J183">
            <v>8</v>
          </cell>
          <cell r="K183">
            <v>2</v>
          </cell>
          <cell r="M183">
            <v>10</v>
          </cell>
          <cell r="N183">
            <v>27</v>
          </cell>
          <cell r="P183">
            <v>27</v>
          </cell>
          <cell r="Q183">
            <v>0</v>
          </cell>
          <cell r="R183">
            <v>0</v>
          </cell>
          <cell r="T183">
            <v>8500</v>
          </cell>
          <cell r="U183">
            <v>7649.9999999999991</v>
          </cell>
          <cell r="V183">
            <v>0</v>
          </cell>
          <cell r="W183">
            <v>0</v>
          </cell>
          <cell r="Y183">
            <v>6499.6666666666642</v>
          </cell>
          <cell r="Z183">
            <v>6499.6666666666642</v>
          </cell>
          <cell r="AA183">
            <v>14149.666666666664</v>
          </cell>
          <cell r="AC183">
            <v>14149.666666666664</v>
          </cell>
          <cell r="AD183">
            <v>15000</v>
          </cell>
          <cell r="AE183" t="str">
            <v>paid from lalpania on 18.05.2026, from Tori on 31.05.2026</v>
          </cell>
          <cell r="AF183">
            <v>-850.33333333333576</v>
          </cell>
        </row>
        <row r="184">
          <cell r="B184" t="str">
            <v>Karan Kumar Ganjhu</v>
          </cell>
          <cell r="C184" t="str">
            <v>New</v>
          </cell>
          <cell r="D184" t="str">
            <v>Hel.</v>
          </cell>
          <cell r="E184" t="str">
            <v>Karo</v>
          </cell>
          <cell r="F184">
            <v>0</v>
          </cell>
          <cell r="G184">
            <v>30</v>
          </cell>
          <cell r="H184">
            <v>26</v>
          </cell>
          <cell r="I184">
            <v>4</v>
          </cell>
          <cell r="J184">
            <v>0</v>
          </cell>
          <cell r="K184">
            <v>4</v>
          </cell>
          <cell r="M184">
            <v>4</v>
          </cell>
          <cell r="N184">
            <v>30</v>
          </cell>
          <cell r="O184">
            <v>4</v>
          </cell>
          <cell r="P184">
            <v>30</v>
          </cell>
          <cell r="Q184">
            <v>0</v>
          </cell>
          <cell r="R184">
            <v>0</v>
          </cell>
          <cell r="T184">
            <v>9000</v>
          </cell>
          <cell r="U184">
            <v>9000</v>
          </cell>
          <cell r="V184">
            <v>0</v>
          </cell>
          <cell r="W184">
            <v>0</v>
          </cell>
          <cell r="Y184">
            <v>6676.4516129032245</v>
          </cell>
          <cell r="Z184">
            <v>6676.4516129032245</v>
          </cell>
          <cell r="AA184">
            <v>15676.451612903224</v>
          </cell>
          <cell r="AC184">
            <v>15676.451612903224</v>
          </cell>
          <cell r="AD184">
            <v>15676</v>
          </cell>
          <cell r="AE184" t="str">
            <v>from karo on 17.05.2026</v>
          </cell>
          <cell r="AF184">
            <v>0.45161290322357672</v>
          </cell>
        </row>
        <row r="185">
          <cell r="B185" t="str">
            <v>Sidhart Kumar</v>
          </cell>
          <cell r="C185" t="str">
            <v>New</v>
          </cell>
          <cell r="D185" t="str">
            <v>supervisor</v>
          </cell>
          <cell r="E185" t="str">
            <v>Karo/Tori</v>
          </cell>
          <cell r="F185">
            <v>0</v>
          </cell>
          <cell r="G185">
            <v>30</v>
          </cell>
          <cell r="H185">
            <v>5</v>
          </cell>
          <cell r="I185">
            <v>25</v>
          </cell>
          <cell r="J185">
            <v>0</v>
          </cell>
          <cell r="K185">
            <v>0</v>
          </cell>
          <cell r="M185">
            <v>0</v>
          </cell>
          <cell r="N185">
            <v>5</v>
          </cell>
          <cell r="O185">
            <v>0</v>
          </cell>
          <cell r="P185">
            <v>5</v>
          </cell>
          <cell r="Q185">
            <v>0</v>
          </cell>
          <cell r="R185">
            <v>0</v>
          </cell>
          <cell r="T185">
            <v>8500</v>
          </cell>
          <cell r="U185">
            <v>1416.6666666666665</v>
          </cell>
          <cell r="V185">
            <v>0</v>
          </cell>
          <cell r="W185">
            <v>0</v>
          </cell>
          <cell r="Y185">
            <v>4926.0967741935483</v>
          </cell>
          <cell r="Z185">
            <v>4926.0967741935483</v>
          </cell>
          <cell r="AA185">
            <v>6342.7634408602153</v>
          </cell>
          <cell r="AC185">
            <v>6342.7634408602153</v>
          </cell>
          <cell r="AD185">
            <v>6350</v>
          </cell>
          <cell r="AE185" t="str">
            <v>from karo on 17.05.2026</v>
          </cell>
          <cell r="AF185">
            <v>-7.2365591397847311</v>
          </cell>
        </row>
        <row r="186">
          <cell r="B186" t="str">
            <v>Anup Vishwakarma</v>
          </cell>
          <cell r="C186" t="str">
            <v>New</v>
          </cell>
          <cell r="D186" t="str">
            <v>N/G</v>
          </cell>
          <cell r="E186" t="str">
            <v>Karo</v>
          </cell>
          <cell r="F186">
            <v>0</v>
          </cell>
          <cell r="G186">
            <v>30</v>
          </cell>
          <cell r="H186">
            <v>30</v>
          </cell>
          <cell r="I186">
            <v>0</v>
          </cell>
          <cell r="J186">
            <v>0</v>
          </cell>
          <cell r="K186">
            <v>0</v>
          </cell>
          <cell r="M186">
            <v>0</v>
          </cell>
          <cell r="N186">
            <v>30</v>
          </cell>
          <cell r="O186">
            <v>0</v>
          </cell>
          <cell r="P186">
            <v>30</v>
          </cell>
          <cell r="Q186">
            <v>0</v>
          </cell>
          <cell r="R186">
            <v>0</v>
          </cell>
          <cell r="T186">
            <v>9000</v>
          </cell>
          <cell r="U186">
            <v>9000</v>
          </cell>
          <cell r="V186">
            <v>0</v>
          </cell>
          <cell r="W186">
            <v>0</v>
          </cell>
          <cell r="Y186">
            <v>5258.9216589861753</v>
          </cell>
          <cell r="Z186">
            <v>5258.9216589861753</v>
          </cell>
          <cell r="AA186">
            <v>14258.921658986175</v>
          </cell>
          <cell r="AC186">
            <v>14258.921658986175</v>
          </cell>
          <cell r="AD186">
            <v>15260</v>
          </cell>
          <cell r="AE186" t="str">
            <v>from Karo on 02.05.2026, from karo on 17.05.2026, from Karo on 30.05.2026</v>
          </cell>
          <cell r="AF186">
            <v>-1001.0783410138247</v>
          </cell>
        </row>
        <row r="187">
          <cell r="B187" t="str">
            <v>Sohan Kumar Marandi</v>
          </cell>
          <cell r="C187" t="str">
            <v>New</v>
          </cell>
          <cell r="D187" t="str">
            <v>Hel.</v>
          </cell>
          <cell r="E187">
            <v>0</v>
          </cell>
          <cell r="F187">
            <v>0</v>
          </cell>
          <cell r="G187">
            <v>30</v>
          </cell>
          <cell r="H187">
            <v>0</v>
          </cell>
          <cell r="I187">
            <v>30</v>
          </cell>
          <cell r="J187">
            <v>0</v>
          </cell>
          <cell r="K187">
            <v>0</v>
          </cell>
          <cell r="M187">
            <v>0</v>
          </cell>
          <cell r="N187">
            <v>0</v>
          </cell>
          <cell r="P187">
            <v>0</v>
          </cell>
          <cell r="Q187">
            <v>0</v>
          </cell>
          <cell r="R187">
            <v>0</v>
          </cell>
          <cell r="T187">
            <v>8500</v>
          </cell>
          <cell r="U187">
            <v>0</v>
          </cell>
          <cell r="V187">
            <v>0</v>
          </cell>
          <cell r="W187">
            <v>0</v>
          </cell>
          <cell r="Y187">
            <v>3946.4285714285711</v>
          </cell>
          <cell r="Z187">
            <v>3946.4285714285711</v>
          </cell>
          <cell r="AA187">
            <v>3946.4285714285711</v>
          </cell>
          <cell r="AC187">
            <v>3946.4285714285711</v>
          </cell>
          <cell r="AD187">
            <v>0</v>
          </cell>
          <cell r="AE187">
            <v>0</v>
          </cell>
          <cell r="AF187">
            <v>3946.4285714285711</v>
          </cell>
        </row>
        <row r="188">
          <cell r="B188" t="str">
            <v>Mukund Mahto</v>
          </cell>
          <cell r="C188" t="str">
            <v>New</v>
          </cell>
          <cell r="D188" t="str">
            <v>T.Driver</v>
          </cell>
          <cell r="E188" t="str">
            <v>Karo</v>
          </cell>
          <cell r="F188">
            <v>0</v>
          </cell>
          <cell r="G188">
            <v>30</v>
          </cell>
          <cell r="H188">
            <v>27</v>
          </cell>
          <cell r="I188">
            <v>3</v>
          </cell>
          <cell r="J188">
            <v>0</v>
          </cell>
          <cell r="K188">
            <v>4</v>
          </cell>
          <cell r="M188">
            <v>4</v>
          </cell>
          <cell r="N188">
            <v>31</v>
          </cell>
          <cell r="O188">
            <v>3</v>
          </cell>
          <cell r="P188">
            <v>30</v>
          </cell>
          <cell r="Q188">
            <v>1</v>
          </cell>
          <cell r="R188">
            <v>0</v>
          </cell>
          <cell r="T188">
            <v>16000</v>
          </cell>
          <cell r="U188">
            <v>16000.000000000002</v>
          </cell>
          <cell r="V188">
            <v>0</v>
          </cell>
          <cell r="W188">
            <v>0</v>
          </cell>
          <cell r="Y188">
            <v>13951.612903225807</v>
          </cell>
          <cell r="Z188">
            <v>13951.612903225807</v>
          </cell>
          <cell r="AA188">
            <v>29951.61290322581</v>
          </cell>
          <cell r="AC188">
            <v>29951.61290322581</v>
          </cell>
          <cell r="AD188">
            <v>29952</v>
          </cell>
          <cell r="AE188" t="str">
            <v>from karo on 17.05.2026</v>
          </cell>
          <cell r="AF188">
            <v>-0.38709677418955835</v>
          </cell>
        </row>
        <row r="189">
          <cell r="B189" t="str">
            <v>Mritunjay Dey</v>
          </cell>
          <cell r="C189" t="str">
            <v>New</v>
          </cell>
          <cell r="D189" t="str">
            <v>BOLERO DR.</v>
          </cell>
          <cell r="E189" t="str">
            <v>Karo</v>
          </cell>
          <cell r="F189">
            <v>0</v>
          </cell>
          <cell r="G189">
            <v>30</v>
          </cell>
          <cell r="H189">
            <v>29</v>
          </cell>
          <cell r="I189">
            <v>1</v>
          </cell>
          <cell r="J189">
            <v>0</v>
          </cell>
          <cell r="K189">
            <v>4</v>
          </cell>
          <cell r="M189">
            <v>4</v>
          </cell>
          <cell r="N189">
            <v>33</v>
          </cell>
          <cell r="O189">
            <v>1</v>
          </cell>
          <cell r="P189">
            <v>30</v>
          </cell>
          <cell r="Q189">
            <v>3</v>
          </cell>
          <cell r="R189">
            <v>0</v>
          </cell>
          <cell r="T189">
            <v>10000</v>
          </cell>
          <cell r="U189">
            <v>10000</v>
          </cell>
          <cell r="V189">
            <v>0</v>
          </cell>
          <cell r="W189">
            <v>0</v>
          </cell>
          <cell r="Y189">
            <v>3064.5161290322576</v>
          </cell>
          <cell r="Z189">
            <v>3064.5161290322576</v>
          </cell>
          <cell r="AA189">
            <v>13064.516129032258</v>
          </cell>
          <cell r="AC189">
            <v>13064.516129032258</v>
          </cell>
          <cell r="AD189">
            <v>13050</v>
          </cell>
          <cell r="AE189" t="str">
            <v>From Karo on 01.05.2026, from karo on 17.05.2026</v>
          </cell>
          <cell r="AF189">
            <v>14.516129032257595</v>
          </cell>
        </row>
        <row r="190">
          <cell r="B190" t="str">
            <v>Rabin</v>
          </cell>
          <cell r="C190" t="str">
            <v>New</v>
          </cell>
          <cell r="D190" t="str">
            <v>Hel.</v>
          </cell>
          <cell r="E190" t="str">
            <v>lal</v>
          </cell>
          <cell r="F190">
            <v>0</v>
          </cell>
          <cell r="G190">
            <v>30</v>
          </cell>
          <cell r="H190">
            <v>26</v>
          </cell>
          <cell r="I190">
            <v>4</v>
          </cell>
          <cell r="J190">
            <v>0</v>
          </cell>
          <cell r="K190">
            <v>4</v>
          </cell>
          <cell r="M190">
            <v>4</v>
          </cell>
          <cell r="N190">
            <v>30</v>
          </cell>
          <cell r="P190">
            <v>30</v>
          </cell>
          <cell r="Q190">
            <v>0</v>
          </cell>
          <cell r="R190">
            <v>0</v>
          </cell>
          <cell r="T190">
            <v>9000</v>
          </cell>
          <cell r="U190">
            <v>9000</v>
          </cell>
          <cell r="V190">
            <v>0</v>
          </cell>
          <cell r="W190">
            <v>0</v>
          </cell>
          <cell r="Y190">
            <v>4645</v>
          </cell>
          <cell r="Z190">
            <v>4645</v>
          </cell>
          <cell r="AA190">
            <v>13645</v>
          </cell>
          <cell r="AC190">
            <v>13645</v>
          </cell>
          <cell r="AD190">
            <v>13645</v>
          </cell>
          <cell r="AE190" t="str">
            <v>Paid from Lalpania on 18.05.2026</v>
          </cell>
          <cell r="AF190">
            <v>0</v>
          </cell>
        </row>
        <row r="191">
          <cell r="B191" t="str">
            <v>Rajkapur Thakur</v>
          </cell>
          <cell r="D191" t="str">
            <v>Mechanic</v>
          </cell>
          <cell r="E191" t="str">
            <v>Karo/LAL</v>
          </cell>
          <cell r="G191">
            <v>30</v>
          </cell>
          <cell r="H191">
            <v>30</v>
          </cell>
          <cell r="I191">
            <v>0</v>
          </cell>
          <cell r="J191">
            <v>0</v>
          </cell>
          <cell r="K191">
            <v>4</v>
          </cell>
          <cell r="M191">
            <v>4</v>
          </cell>
          <cell r="N191">
            <v>34</v>
          </cell>
          <cell r="O191">
            <v>0</v>
          </cell>
          <cell r="P191">
            <v>30</v>
          </cell>
          <cell r="Q191">
            <v>4</v>
          </cell>
          <cell r="R191">
            <v>0</v>
          </cell>
          <cell r="T191">
            <v>15000</v>
          </cell>
          <cell r="U191">
            <v>15000</v>
          </cell>
          <cell r="V191">
            <v>0</v>
          </cell>
          <cell r="W191">
            <v>0</v>
          </cell>
          <cell r="Y191">
            <v>0</v>
          </cell>
          <cell r="Z191">
            <v>0</v>
          </cell>
          <cell r="AA191">
            <v>15000</v>
          </cell>
          <cell r="AC191">
            <v>15000</v>
          </cell>
          <cell r="AD191">
            <v>15000</v>
          </cell>
          <cell r="AE191" t="str">
            <v>From K.E on 22.05.2026</v>
          </cell>
          <cell r="AF191">
            <v>0</v>
          </cell>
        </row>
        <row r="192">
          <cell r="B192" t="str">
            <v>Santos Kumar Das</v>
          </cell>
          <cell r="D192" t="str">
            <v>supervisor</v>
          </cell>
          <cell r="E192" t="str">
            <v>Tori</v>
          </cell>
          <cell r="G192">
            <v>30</v>
          </cell>
          <cell r="H192">
            <v>21</v>
          </cell>
          <cell r="I192">
            <v>9</v>
          </cell>
          <cell r="J192">
            <v>0</v>
          </cell>
          <cell r="K192">
            <v>3</v>
          </cell>
          <cell r="M192">
            <v>3</v>
          </cell>
          <cell r="N192">
            <v>24</v>
          </cell>
          <cell r="P192">
            <v>24</v>
          </cell>
          <cell r="Q192">
            <v>0</v>
          </cell>
          <cell r="R192">
            <v>0</v>
          </cell>
          <cell r="T192">
            <v>8000</v>
          </cell>
          <cell r="U192">
            <v>6400</v>
          </cell>
          <cell r="V192">
            <v>0</v>
          </cell>
          <cell r="W192">
            <v>0</v>
          </cell>
          <cell r="Y192">
            <v>0</v>
          </cell>
          <cell r="Z192">
            <v>0</v>
          </cell>
          <cell r="AA192">
            <v>6400</v>
          </cell>
          <cell r="AC192">
            <v>6400</v>
          </cell>
          <cell r="AD192">
            <v>1000</v>
          </cell>
          <cell r="AE192" t="str">
            <v>from Tori on 19.05.2026</v>
          </cell>
          <cell r="AF192">
            <v>5400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4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E17" sqref="E17"/>
    </sheetView>
  </sheetViews>
  <sheetFormatPr defaultColWidth="8.6640625" defaultRowHeight="14.4" x14ac:dyDescent="0.3"/>
  <cols>
    <col min="1" max="1" width="2" customWidth="1"/>
    <col min="2" max="2" width="18" customWidth="1"/>
    <col min="3" max="16" width="13" customWidth="1"/>
  </cols>
  <sheetData>
    <row r="1" spans="2:17" ht="30" customHeight="1" x14ac:dyDescent="0.3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7" ht="21.75" customHeight="1" x14ac:dyDescent="0.3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2:17" ht="15.6" x14ac:dyDescent="0.3">
      <c r="B4" s="4" t="s">
        <v>2</v>
      </c>
      <c r="C4" s="1" t="s">
        <v>341</v>
      </c>
      <c r="D4" s="1"/>
      <c r="E4" s="1"/>
      <c r="F4" s="1"/>
      <c r="L4" s="32" t="s">
        <v>343</v>
      </c>
      <c r="M4" s="33" t="s">
        <v>345</v>
      </c>
      <c r="N4" s="34" t="s">
        <v>344</v>
      </c>
      <c r="O4" s="35"/>
      <c r="P4" s="35"/>
      <c r="Q4" s="35"/>
    </row>
    <row r="5" spans="2:17" x14ac:dyDescent="0.3">
      <c r="B5" s="5" t="s">
        <v>4</v>
      </c>
      <c r="C5" s="6" t="str">
        <f>IFERROR(VLOOKUP($C$4,Lists!$A:$D,2,0),"")</f>
        <v/>
      </c>
      <c r="D5" s="5" t="s">
        <v>5</v>
      </c>
      <c r="E5" s="6" t="str">
        <f>IFERROR(VLOOKUP($C$4,Lists!$A:$D,3,0),"")</f>
        <v/>
      </c>
      <c r="F5" s="5" t="s">
        <v>6</v>
      </c>
      <c r="G5" s="6" t="str">
        <f>IFERROR(VLOOKUP($C$4,Lists!$A:$D,4,0),"")</f>
        <v/>
      </c>
    </row>
    <row r="7" spans="2:17" ht="24" customHeight="1" x14ac:dyDescent="0.3">
      <c r="B7" s="12" t="s">
        <v>7</v>
      </c>
      <c r="C7" s="12"/>
      <c r="D7" s="13" t="s">
        <v>8</v>
      </c>
      <c r="E7" s="13"/>
      <c r="F7" s="14" t="s">
        <v>9</v>
      </c>
      <c r="G7" s="14"/>
      <c r="H7" s="12" t="s">
        <v>10</v>
      </c>
      <c r="I7" s="12"/>
      <c r="J7" s="13" t="s">
        <v>11</v>
      </c>
      <c r="K7" s="13"/>
    </row>
    <row r="8" spans="2:17" ht="30" customHeight="1" x14ac:dyDescent="0.3">
      <c r="B8" s="15">
        <f>SUMIFS('Master Data'!$Q:$Q,'Master Data'!$B:$B,$C$4)</f>
        <v>-6325.8957603686667</v>
      </c>
      <c r="C8" s="15"/>
      <c r="D8" s="16">
        <f>SUMIFS('Master Data'!$O:$O,'Master Data'!$B:$B,$C$4)</f>
        <v>26777.515760368668</v>
      </c>
      <c r="E8" s="16"/>
      <c r="F8" s="17">
        <f>SUMIFS('Master Data'!$J:$J,'Master Data'!$B:$B,$C$4)</f>
        <v>6</v>
      </c>
      <c r="G8" s="17"/>
      <c r="H8" s="15">
        <f>SUMIFS('Master Data'!$R:$R,'Master Data'!$B:$B,$C$4)</f>
        <v>25000</v>
      </c>
      <c r="I8" s="15"/>
      <c r="J8" s="16">
        <f>SUMIFS('Master Data'!$S:$S,'Master Data'!$B:$B,$C$4)</f>
        <v>-31325.895760368665</v>
      </c>
      <c r="K8" s="16"/>
    </row>
    <row r="11" spans="2:17" ht="25.5" customHeight="1" x14ac:dyDescent="0.3">
      <c r="B11" s="18" t="s">
        <v>12</v>
      </c>
      <c r="C11" s="19" t="s">
        <v>13</v>
      </c>
      <c r="D11" s="19" t="s">
        <v>14</v>
      </c>
      <c r="E11" s="19" t="s">
        <v>15</v>
      </c>
      <c r="F11" s="19" t="s">
        <v>16</v>
      </c>
      <c r="G11" s="19" t="s">
        <v>17</v>
      </c>
      <c r="H11" s="19" t="s">
        <v>18</v>
      </c>
      <c r="I11" s="19" t="s">
        <v>19</v>
      </c>
      <c r="J11" s="19" t="s">
        <v>20</v>
      </c>
      <c r="K11" s="19" t="s">
        <v>21</v>
      </c>
      <c r="L11" s="19" t="s">
        <v>22</v>
      </c>
      <c r="M11" s="19" t="s">
        <v>23</v>
      </c>
      <c r="N11" s="19" t="s">
        <v>24</v>
      </c>
      <c r="O11" s="20" t="s">
        <v>25</v>
      </c>
    </row>
    <row r="12" spans="2:17" x14ac:dyDescent="0.3">
      <c r="B12" s="21" t="s">
        <v>26</v>
      </c>
      <c r="C12" s="22">
        <f>SUMIFS('Master Data'!$F:$F,'Master Data'!$A:$A,$C$11,'Master Data'!$B:$B,$C$4)</f>
        <v>30</v>
      </c>
      <c r="D12" s="22">
        <f>SUMIFS('Master Data'!$F:$F,'Master Data'!$A:$A,$D$11,'Master Data'!$B:$B,$C$4)</f>
        <v>31</v>
      </c>
      <c r="E12" s="22">
        <f>SUMIFS('Master Data'!$F:$F,'Master Data'!$A:$A,$E$11,'Master Data'!$B:$B,$C$4)</f>
        <v>0</v>
      </c>
      <c r="F12" s="22">
        <f>SUMIFS('Master Data'!$F:$F,'Master Data'!$A:$A,$F$11,'Master Data'!$B:$B,$C$4)</f>
        <v>0</v>
      </c>
      <c r="G12" s="22">
        <f>SUMIFS('Master Data'!$F:$F,'Master Data'!$A:$A,$G$11,'Master Data'!$B:$B,$C$4)</f>
        <v>0</v>
      </c>
      <c r="H12" s="22">
        <f>SUMIFS('Master Data'!$F:$F,'Master Data'!$A:$A,$H$11,'Master Data'!$B:$B,$C$4)</f>
        <v>0</v>
      </c>
      <c r="I12" s="22">
        <f>SUMIFS('Master Data'!$F:$F,'Master Data'!$A:$A,$I$11,'Master Data'!$B:$B,$C$4)</f>
        <v>0</v>
      </c>
      <c r="J12" s="22">
        <f>SUMIFS('Master Data'!$F:$F,'Master Data'!$A:$A,$J$11,'Master Data'!$B:$B,$C$4)</f>
        <v>0</v>
      </c>
      <c r="K12" s="22">
        <f>SUMIFS('Master Data'!$F:$F,'Master Data'!$A:$A,$K$11,'Master Data'!$B:$B,$C$4)</f>
        <v>0</v>
      </c>
      <c r="L12" s="22">
        <f>SUMIFS('Master Data'!$F:$F,'Master Data'!$A:$A,$L$11,'Master Data'!$B:$B,$C$4)</f>
        <v>0</v>
      </c>
      <c r="M12" s="22">
        <f>SUMIFS('Master Data'!$F:$F,'Master Data'!$A:$A,$M$11,'Master Data'!$B:$B,$C$4)</f>
        <v>0</v>
      </c>
      <c r="N12" s="22">
        <f>SUMIFS('Master Data'!$F:$F,'Master Data'!$A:$A,$N$11,'Master Data'!$B:$B,$C$4)</f>
        <v>0</v>
      </c>
      <c r="O12" s="23"/>
    </row>
    <row r="13" spans="2:17" x14ac:dyDescent="0.3">
      <c r="B13" s="21" t="s">
        <v>27</v>
      </c>
      <c r="C13" s="22">
        <f>SUMIFS('Master Data'!$G:$G,'Master Data'!$A:$A,$C$11,'Master Data'!$B:$B,$C$4)</f>
        <v>22</v>
      </c>
      <c r="D13" s="22">
        <f>SUMIFS('Master Data'!$G:$G,'Master Data'!$A:$A,$D$11,'Master Data'!$B:$B,$C$4)</f>
        <v>24</v>
      </c>
      <c r="E13" s="22">
        <f>SUMIFS('Master Data'!$G:$G,'Master Data'!$A:$A,$E$11,'Master Data'!$B:$B,$C$4)</f>
        <v>0</v>
      </c>
      <c r="F13" s="22">
        <f>SUMIFS('Master Data'!$G:$G,'Master Data'!$A:$A,$F$11,'Master Data'!$B:$B,$C$4)</f>
        <v>0</v>
      </c>
      <c r="G13" s="22">
        <f>SUMIFS('Master Data'!$G:$G,'Master Data'!$A:$A,$G$11,'Master Data'!$B:$B,$C$4)</f>
        <v>0</v>
      </c>
      <c r="H13" s="22">
        <f>SUMIFS('Master Data'!$G:$G,'Master Data'!$A:$A,$H$11,'Master Data'!$B:$B,$C$4)</f>
        <v>0</v>
      </c>
      <c r="I13" s="22">
        <f>SUMIFS('Master Data'!$G:$G,'Master Data'!$A:$A,$I$11,'Master Data'!$B:$B,$C$4)</f>
        <v>0</v>
      </c>
      <c r="J13" s="22">
        <f>SUMIFS('Master Data'!$G:$G,'Master Data'!$A:$A,$J$11,'Master Data'!$B:$B,$C$4)</f>
        <v>0</v>
      </c>
      <c r="K13" s="22">
        <f>SUMIFS('Master Data'!$G:$G,'Master Data'!$A:$A,$K$11,'Master Data'!$B:$B,$C$4)</f>
        <v>0</v>
      </c>
      <c r="L13" s="22">
        <f>SUMIFS('Master Data'!$G:$G,'Master Data'!$A:$A,$L$11,'Master Data'!$B:$B,$C$4)</f>
        <v>0</v>
      </c>
      <c r="M13" s="22">
        <f>SUMIFS('Master Data'!$G:$G,'Master Data'!$A:$A,$M$11,'Master Data'!$B:$B,$C$4)</f>
        <v>0</v>
      </c>
      <c r="N13" s="22">
        <f>SUMIFS('Master Data'!$G:$G,'Master Data'!$A:$A,$N$11,'Master Data'!$B:$B,$C$4)</f>
        <v>0</v>
      </c>
      <c r="O13" s="23"/>
    </row>
    <row r="14" spans="2:17" x14ac:dyDescent="0.3">
      <c r="B14" s="21" t="s">
        <v>28</v>
      </c>
      <c r="C14" s="22">
        <f>SUMIFS('Master Data'!$H:$H,'Master Data'!$A:$A,$C$11,'Master Data'!$B:$B,$C$4)</f>
        <v>8</v>
      </c>
      <c r="D14" s="22">
        <f>SUMIFS('Master Data'!$H:$H,'Master Data'!$A:$A,$D$11,'Master Data'!$B:$B,$C$4)</f>
        <v>7</v>
      </c>
      <c r="E14" s="22">
        <f>SUMIFS('Master Data'!$H:$H,'Master Data'!$A:$A,$E$11,'Master Data'!$B:$B,$C$4)</f>
        <v>0</v>
      </c>
      <c r="F14" s="22">
        <f>SUMIFS('Master Data'!$H:$H,'Master Data'!$A:$A,$F$11,'Master Data'!$B:$B,$C$4)</f>
        <v>0</v>
      </c>
      <c r="G14" s="22">
        <f>SUMIFS('Master Data'!$H:$H,'Master Data'!$A:$A,$G$11,'Master Data'!$B:$B,$C$4)</f>
        <v>0</v>
      </c>
      <c r="H14" s="22">
        <f>SUMIFS('Master Data'!$H:$H,'Master Data'!$A:$A,$H$11,'Master Data'!$B:$B,$C$4)</f>
        <v>0</v>
      </c>
      <c r="I14" s="22">
        <f>SUMIFS('Master Data'!$H:$H,'Master Data'!$A:$A,$I$11,'Master Data'!$B:$B,$C$4)</f>
        <v>0</v>
      </c>
      <c r="J14" s="22">
        <f>SUMIFS('Master Data'!$H:$H,'Master Data'!$A:$A,$J$11,'Master Data'!$B:$B,$C$4)</f>
        <v>0</v>
      </c>
      <c r="K14" s="22">
        <f>SUMIFS('Master Data'!$H:$H,'Master Data'!$A:$A,$K$11,'Master Data'!$B:$B,$C$4)</f>
        <v>0</v>
      </c>
      <c r="L14" s="22">
        <f>SUMIFS('Master Data'!$H:$H,'Master Data'!$A:$A,$L$11,'Master Data'!$B:$B,$C$4)</f>
        <v>0</v>
      </c>
      <c r="M14" s="22">
        <f>SUMIFS('Master Data'!$H:$H,'Master Data'!$A:$A,$M$11,'Master Data'!$B:$B,$C$4)</f>
        <v>0</v>
      </c>
      <c r="N14" s="22">
        <f>SUMIFS('Master Data'!$H:$H,'Master Data'!$A:$A,$N$11,'Master Data'!$B:$B,$C$4)</f>
        <v>0</v>
      </c>
      <c r="O14" s="23"/>
    </row>
    <row r="15" spans="2:17" x14ac:dyDescent="0.3">
      <c r="B15" s="21" t="s">
        <v>29</v>
      </c>
      <c r="C15" s="22">
        <f>SUMIFS('Master Data'!$J:$J,'Master Data'!$A:$A,$C$11,'Master Data'!$B:$B,$C$4)</f>
        <v>3</v>
      </c>
      <c r="D15" s="22">
        <f>SUMIFS('Master Data'!$J:$J,'Master Data'!$A:$A,$D$11,'Master Data'!$B:$B,$C$4)</f>
        <v>3</v>
      </c>
      <c r="E15" s="22">
        <f>SUMIFS('Master Data'!$J:$J,'Master Data'!$A:$A,$E$11,'Master Data'!$B:$B,$C$4)</f>
        <v>0</v>
      </c>
      <c r="F15" s="22">
        <f>SUMIFS('Master Data'!$J:$J,'Master Data'!$A:$A,$F$11,'Master Data'!$B:$B,$C$4)</f>
        <v>0</v>
      </c>
      <c r="G15" s="22">
        <f>SUMIFS('Master Data'!$J:$J,'Master Data'!$A:$A,$G$11,'Master Data'!$B:$B,$C$4)</f>
        <v>0</v>
      </c>
      <c r="H15" s="22">
        <f>SUMIFS('Master Data'!$J:$J,'Master Data'!$A:$A,$H$11,'Master Data'!$B:$B,$C$4)</f>
        <v>0</v>
      </c>
      <c r="I15" s="22">
        <f>SUMIFS('Master Data'!$J:$J,'Master Data'!$A:$A,$I$11,'Master Data'!$B:$B,$C$4)</f>
        <v>0</v>
      </c>
      <c r="J15" s="22">
        <f>SUMIFS('Master Data'!$J:$J,'Master Data'!$A:$A,$J$11,'Master Data'!$B:$B,$C$4)</f>
        <v>0</v>
      </c>
      <c r="K15" s="22">
        <f>SUMIFS('Master Data'!$J:$J,'Master Data'!$A:$A,$K$11,'Master Data'!$B:$B,$C$4)</f>
        <v>0</v>
      </c>
      <c r="L15" s="22">
        <f>SUMIFS('Master Data'!$J:$J,'Master Data'!$A:$A,$L$11,'Master Data'!$B:$B,$C$4)</f>
        <v>0</v>
      </c>
      <c r="M15" s="22">
        <f>SUMIFS('Master Data'!$J:$J,'Master Data'!$A:$A,$M$11,'Master Data'!$B:$B,$C$4)</f>
        <v>0</v>
      </c>
      <c r="N15" s="22">
        <f>SUMIFS('Master Data'!$J:$J,'Master Data'!$A:$A,$N$11,'Master Data'!$B:$B,$C$4)</f>
        <v>0</v>
      </c>
      <c r="O15" s="24">
        <f>SUM(C15:N15)</f>
        <v>6</v>
      </c>
    </row>
    <row r="16" spans="2:17" x14ac:dyDescent="0.3">
      <c r="B16" s="21" t="s">
        <v>30</v>
      </c>
      <c r="C16" s="22">
        <f>SUMIFS('Master Data'!$K:$K,'Master Data'!$A:$A,$C$11,'Master Data'!$B:$B,$C$4)</f>
        <v>3</v>
      </c>
      <c r="D16" s="22">
        <f>SUMIFS('Master Data'!$K:$K,'Master Data'!$A:$A,$D$11,'Master Data'!$B:$B,$C$4)</f>
        <v>3</v>
      </c>
      <c r="E16" s="22">
        <f>SUMIFS('Master Data'!$K:$K,'Master Data'!$A:$A,$E$11,'Master Data'!$B:$B,$C$4)</f>
        <v>0</v>
      </c>
      <c r="F16" s="22">
        <f>SUMIFS('Master Data'!$K:$K,'Master Data'!$A:$A,$F$11,'Master Data'!$B:$B,$C$4)</f>
        <v>0</v>
      </c>
      <c r="G16" s="22">
        <f>SUMIFS('Master Data'!$K:$K,'Master Data'!$A:$A,$G$11,'Master Data'!$B:$B,$C$4)</f>
        <v>0</v>
      </c>
      <c r="H16" s="22">
        <f>SUMIFS('Master Data'!$K:$K,'Master Data'!$A:$A,$H$11,'Master Data'!$B:$B,$C$4)</f>
        <v>0</v>
      </c>
      <c r="I16" s="22">
        <f>SUMIFS('Master Data'!$K:$K,'Master Data'!$A:$A,$I$11,'Master Data'!$B:$B,$C$4)</f>
        <v>0</v>
      </c>
      <c r="J16" s="22">
        <f>SUMIFS('Master Data'!$K:$K,'Master Data'!$A:$A,$J$11,'Master Data'!$B:$B,$C$4)</f>
        <v>0</v>
      </c>
      <c r="K16" s="22">
        <f>SUMIFS('Master Data'!$K:$K,'Master Data'!$A:$A,$K$11,'Master Data'!$B:$B,$C$4)</f>
        <v>0</v>
      </c>
      <c r="L16" s="22">
        <f>SUMIFS('Master Data'!$K:$K,'Master Data'!$A:$A,$L$11,'Master Data'!$B:$B,$C$4)</f>
        <v>0</v>
      </c>
      <c r="M16" s="22">
        <f>SUMIFS('Master Data'!$K:$K,'Master Data'!$A:$A,$M$11,'Master Data'!$B:$B,$C$4)</f>
        <v>0</v>
      </c>
      <c r="N16" s="22">
        <f>SUMIFS('Master Data'!$K:$K,'Master Data'!$A:$A,$N$11,'Master Data'!$B:$B,$C$4)</f>
        <v>0</v>
      </c>
      <c r="O16" s="24">
        <f>SUM(C16:N16)</f>
        <v>6</v>
      </c>
    </row>
    <row r="17" spans="2:15" x14ac:dyDescent="0.3">
      <c r="B17" s="21" t="s">
        <v>31</v>
      </c>
      <c r="C17" s="22">
        <f>SUMIFS('Master Data'!$L:$L,'Master Data'!$A:$A,$C$11,'Master Data'!$B:$B,$C$4)</f>
        <v>0</v>
      </c>
      <c r="D17" s="22">
        <f>SUMIFS('Master Data'!$L:$L,'Master Data'!$A:$A,$D$11,'Master Data'!$B:$B,$C$4)</f>
        <v>0</v>
      </c>
      <c r="E17" s="22">
        <f>SUMIFS('Master Data'!$L:$L,'Master Data'!$A:$A,$E$11,'Master Data'!$B:$B,$C$4)</f>
        <v>0</v>
      </c>
      <c r="F17" s="22">
        <f>SUMIFS('Master Data'!$L:$L,'Master Data'!$A:$A,$F$11,'Master Data'!$B:$B,$C$4)</f>
        <v>0</v>
      </c>
      <c r="G17" s="22">
        <f>SUMIFS('Master Data'!$L:$L,'Master Data'!$A:$A,$G$11,'Master Data'!$B:$B,$C$4)</f>
        <v>0</v>
      </c>
      <c r="H17" s="22">
        <f>SUMIFS('Master Data'!$L:$L,'Master Data'!$A:$A,$H$11,'Master Data'!$B:$B,$C$4)</f>
        <v>0</v>
      </c>
      <c r="I17" s="22">
        <f>SUMIFS('Master Data'!$L:$L,'Master Data'!$A:$A,$I$11,'Master Data'!$B:$B,$C$4)</f>
        <v>0</v>
      </c>
      <c r="J17" s="22">
        <f>SUMIFS('Master Data'!$L:$L,'Master Data'!$A:$A,$J$11,'Master Data'!$B:$B,$C$4)</f>
        <v>0</v>
      </c>
      <c r="K17" s="22">
        <f>SUMIFS('Master Data'!$L:$L,'Master Data'!$A:$A,$K$11,'Master Data'!$B:$B,$C$4)</f>
        <v>0</v>
      </c>
      <c r="L17" s="22">
        <f>SUMIFS('Master Data'!$L:$L,'Master Data'!$A:$A,$L$11,'Master Data'!$B:$B,$C$4)</f>
        <v>0</v>
      </c>
      <c r="M17" s="22">
        <f>SUMIFS('Master Data'!$L:$L,'Master Data'!$A:$A,$M$11,'Master Data'!$B:$B,$C$4)</f>
        <v>0</v>
      </c>
      <c r="N17" s="22">
        <f>SUMIFS('Master Data'!$L:$L,'Master Data'!$A:$A,$N$11,'Master Data'!$B:$B,$C$4)</f>
        <v>0</v>
      </c>
      <c r="O17" s="24">
        <f>IFERROR(LOOKUP(2,1/(($A$1:$A$1="")+('Master Data'!$B:$B=$C$4)*('Master Data'!$L:$L&lt;&gt;"")),'Master Data'!$L:$L),"")</f>
        <v>0</v>
      </c>
    </row>
    <row r="18" spans="2:15" x14ac:dyDescent="0.3">
      <c r="B18" s="21" t="s">
        <v>32</v>
      </c>
      <c r="C18" s="25">
        <f>SUMIFS('Master Data'!$M:$M,'Master Data'!$A:$A,$C$11,'Master Data'!$B:$B,$C$4)</f>
        <v>12000</v>
      </c>
      <c r="D18" s="25">
        <f>SUMIFS('Master Data'!$M:$M,'Master Data'!$A:$A,$D$11,'Master Data'!$B:$B,$C$4)</f>
        <v>12000</v>
      </c>
      <c r="E18" s="25">
        <f>SUMIFS('Master Data'!$M:$M,'Master Data'!$A:$A,$E$11,'Master Data'!$B:$B,$C$4)</f>
        <v>0</v>
      </c>
      <c r="F18" s="25">
        <f>SUMIFS('Master Data'!$M:$M,'Master Data'!$A:$A,$F$11,'Master Data'!$B:$B,$C$4)</f>
        <v>0</v>
      </c>
      <c r="G18" s="25">
        <f>SUMIFS('Master Data'!$M:$M,'Master Data'!$A:$A,$G$11,'Master Data'!$B:$B,$C$4)</f>
        <v>0</v>
      </c>
      <c r="H18" s="25">
        <f>SUMIFS('Master Data'!$M:$M,'Master Data'!$A:$A,$H$11,'Master Data'!$B:$B,$C$4)</f>
        <v>0</v>
      </c>
      <c r="I18" s="25">
        <f>SUMIFS('Master Data'!$M:$M,'Master Data'!$A:$A,$I$11,'Master Data'!$B:$B,$C$4)</f>
        <v>0</v>
      </c>
      <c r="J18" s="25">
        <f>SUMIFS('Master Data'!$M:$M,'Master Data'!$A:$A,$J$11,'Master Data'!$B:$B,$C$4)</f>
        <v>0</v>
      </c>
      <c r="K18" s="25">
        <f>SUMIFS('Master Data'!$M:$M,'Master Data'!$A:$A,$K$11,'Master Data'!$B:$B,$C$4)</f>
        <v>0</v>
      </c>
      <c r="L18" s="25">
        <f>SUMIFS('Master Data'!$M:$M,'Master Data'!$A:$A,$L$11,'Master Data'!$B:$B,$C$4)</f>
        <v>0</v>
      </c>
      <c r="M18" s="25">
        <f>SUMIFS('Master Data'!$M:$M,'Master Data'!$A:$A,$M$11,'Master Data'!$B:$B,$C$4)</f>
        <v>0</v>
      </c>
      <c r="N18" s="25">
        <f>SUMIFS('Master Data'!$M:$M,'Master Data'!$A:$A,$N$11,'Master Data'!$B:$B,$C$4)</f>
        <v>0</v>
      </c>
      <c r="O18" s="26">
        <f t="shared" ref="O18:O24" si="0">SUM(C18:N18)</f>
        <v>24000</v>
      </c>
    </row>
    <row r="19" spans="2:15" x14ac:dyDescent="0.3">
      <c r="B19" s="21" t="s">
        <v>33</v>
      </c>
      <c r="C19" s="25">
        <f>SUMIFS('Master Data'!$N:$N,'Master Data'!$A:$A,$C$11,'Master Data'!$B:$B,$C$4)</f>
        <v>10000</v>
      </c>
      <c r="D19" s="25">
        <f>SUMIFS('Master Data'!$N:$N,'Master Data'!$A:$A,$D$11,'Master Data'!$B:$B,$C$4)</f>
        <v>10451.61</v>
      </c>
      <c r="E19" s="25">
        <f>SUMIFS('Master Data'!$N:$N,'Master Data'!$A:$A,$E$11,'Master Data'!$B:$B,$C$4)</f>
        <v>0</v>
      </c>
      <c r="F19" s="25">
        <f>SUMIFS('Master Data'!$N:$N,'Master Data'!$A:$A,$F$11,'Master Data'!$B:$B,$C$4)</f>
        <v>0</v>
      </c>
      <c r="G19" s="25">
        <f>SUMIFS('Master Data'!$N:$N,'Master Data'!$A:$A,$G$11,'Master Data'!$B:$B,$C$4)</f>
        <v>0</v>
      </c>
      <c r="H19" s="25">
        <f>SUMIFS('Master Data'!$N:$N,'Master Data'!$A:$A,$H$11,'Master Data'!$B:$B,$C$4)</f>
        <v>0</v>
      </c>
      <c r="I19" s="25">
        <f>SUMIFS('Master Data'!$N:$N,'Master Data'!$A:$A,$I$11,'Master Data'!$B:$B,$C$4)</f>
        <v>0</v>
      </c>
      <c r="J19" s="25">
        <f>SUMIFS('Master Data'!$N:$N,'Master Data'!$A:$A,$J$11,'Master Data'!$B:$B,$C$4)</f>
        <v>0</v>
      </c>
      <c r="K19" s="25">
        <f>SUMIFS('Master Data'!$N:$N,'Master Data'!$A:$A,$K$11,'Master Data'!$B:$B,$C$4)</f>
        <v>0</v>
      </c>
      <c r="L19" s="25">
        <f>SUMIFS('Master Data'!$N:$N,'Master Data'!$A:$A,$L$11,'Master Data'!$B:$B,$C$4)</f>
        <v>0</v>
      </c>
      <c r="M19" s="25">
        <f>SUMIFS('Master Data'!$N:$N,'Master Data'!$A:$A,$M$11,'Master Data'!$B:$B,$C$4)</f>
        <v>0</v>
      </c>
      <c r="N19" s="25">
        <f>SUMIFS('Master Data'!$N:$N,'Master Data'!$A:$A,$N$11,'Master Data'!$B:$B,$C$4)</f>
        <v>0</v>
      </c>
      <c r="O19" s="26">
        <f t="shared" si="0"/>
        <v>20451.61</v>
      </c>
    </row>
    <row r="20" spans="2:15" x14ac:dyDescent="0.3">
      <c r="B20" s="21" t="s">
        <v>34</v>
      </c>
      <c r="C20" s="25">
        <f>SUMIFS('Master Data'!$O:$O,'Master Data'!$A:$A,$C$11,'Master Data'!$B:$B,$C$4)</f>
        <v>5888.7557603686673</v>
      </c>
      <c r="D20" s="25">
        <f>SUMIFS('Master Data'!$O:$O,'Master Data'!$A:$A,$D$11,'Master Data'!$B:$B,$C$4)</f>
        <v>20888.759999999998</v>
      </c>
      <c r="E20" s="25">
        <f>SUMIFS('Master Data'!$O:$O,'Master Data'!$A:$A,$E$11,'Master Data'!$B:$B,$C$4)</f>
        <v>0</v>
      </c>
      <c r="F20" s="25">
        <f>SUMIFS('Master Data'!$O:$O,'Master Data'!$A:$A,$F$11,'Master Data'!$B:$B,$C$4)</f>
        <v>0</v>
      </c>
      <c r="G20" s="25">
        <f>SUMIFS('Master Data'!$O:$O,'Master Data'!$A:$A,$G$11,'Master Data'!$B:$B,$C$4)</f>
        <v>0</v>
      </c>
      <c r="H20" s="25">
        <f>SUMIFS('Master Data'!$O:$O,'Master Data'!$A:$A,$H$11,'Master Data'!$B:$B,$C$4)</f>
        <v>0</v>
      </c>
      <c r="I20" s="25">
        <f>SUMIFS('Master Data'!$O:$O,'Master Data'!$A:$A,$I$11,'Master Data'!$B:$B,$C$4)</f>
        <v>0</v>
      </c>
      <c r="J20" s="25">
        <f>SUMIFS('Master Data'!$O:$O,'Master Data'!$A:$A,$J$11,'Master Data'!$B:$B,$C$4)</f>
        <v>0</v>
      </c>
      <c r="K20" s="25">
        <f>SUMIFS('Master Data'!$O:$O,'Master Data'!$A:$A,$K$11,'Master Data'!$B:$B,$C$4)</f>
        <v>0</v>
      </c>
      <c r="L20" s="25">
        <f>SUMIFS('Master Data'!$O:$O,'Master Data'!$A:$A,$L$11,'Master Data'!$B:$B,$C$4)</f>
        <v>0</v>
      </c>
      <c r="M20" s="25">
        <f>SUMIFS('Master Data'!$O:$O,'Master Data'!$A:$A,$M$11,'Master Data'!$B:$B,$C$4)</f>
        <v>0</v>
      </c>
      <c r="N20" s="25">
        <f>SUMIFS('Master Data'!$O:$O,'Master Data'!$A:$A,$N$11,'Master Data'!$B:$B,$C$4)</f>
        <v>0</v>
      </c>
      <c r="O20" s="26">
        <f t="shared" si="0"/>
        <v>26777.515760368668</v>
      </c>
    </row>
    <row r="21" spans="2:15" x14ac:dyDescent="0.3">
      <c r="B21" s="21" t="s">
        <v>35</v>
      </c>
      <c r="C21" s="25">
        <f>SUMIFS('Master Data'!$P:$P,'Master Data'!$A:$A,$C$11,'Master Data'!$B:$B,$C$4)</f>
        <v>0</v>
      </c>
      <c r="D21" s="25">
        <f>SUMIFS('Master Data'!$P:$P,'Master Data'!$A:$A,$D$11,'Master Data'!$B:$B,$C$4)</f>
        <v>0</v>
      </c>
      <c r="E21" s="25">
        <f>SUMIFS('Master Data'!$P:$P,'Master Data'!$A:$A,$E$11,'Master Data'!$B:$B,$C$4)</f>
        <v>0</v>
      </c>
      <c r="F21" s="25">
        <f>SUMIFS('Master Data'!$P:$P,'Master Data'!$A:$A,$F$11,'Master Data'!$B:$B,$C$4)</f>
        <v>0</v>
      </c>
      <c r="G21" s="25">
        <f>SUMIFS('Master Data'!$P:$P,'Master Data'!$A:$A,$G$11,'Master Data'!$B:$B,$C$4)</f>
        <v>0</v>
      </c>
      <c r="H21" s="25">
        <f>SUMIFS('Master Data'!$P:$P,'Master Data'!$A:$A,$H$11,'Master Data'!$B:$B,$C$4)</f>
        <v>0</v>
      </c>
      <c r="I21" s="25">
        <f>SUMIFS('Master Data'!$P:$P,'Master Data'!$A:$A,$I$11,'Master Data'!$B:$B,$C$4)</f>
        <v>0</v>
      </c>
      <c r="J21" s="25">
        <f>SUMIFS('Master Data'!$P:$P,'Master Data'!$A:$A,$J$11,'Master Data'!$B:$B,$C$4)</f>
        <v>0</v>
      </c>
      <c r="K21" s="25">
        <f>SUMIFS('Master Data'!$P:$P,'Master Data'!$A:$A,$K$11,'Master Data'!$B:$B,$C$4)</f>
        <v>0</v>
      </c>
      <c r="L21" s="25">
        <f>SUMIFS('Master Data'!$P:$P,'Master Data'!$A:$A,$L$11,'Master Data'!$B:$B,$C$4)</f>
        <v>0</v>
      </c>
      <c r="M21" s="25">
        <f>SUMIFS('Master Data'!$P:$P,'Master Data'!$A:$A,$M$11,'Master Data'!$B:$B,$C$4)</f>
        <v>0</v>
      </c>
      <c r="N21" s="25">
        <f>SUMIFS('Master Data'!$P:$P,'Master Data'!$A:$A,$N$11,'Master Data'!$B:$B,$C$4)</f>
        <v>0</v>
      </c>
      <c r="O21" s="26">
        <f t="shared" si="0"/>
        <v>0</v>
      </c>
    </row>
    <row r="22" spans="2:15" x14ac:dyDescent="0.3">
      <c r="B22" s="27" t="s">
        <v>36</v>
      </c>
      <c r="C22" s="28">
        <f>SUMIFS('Master Data'!$Q:$Q,'Master Data'!$A:$A,$C$11,'Master Data'!$B:$B,$C$4)</f>
        <v>4111.2442396313327</v>
      </c>
      <c r="D22" s="28">
        <f>SUMIFS('Master Data'!$Q:$Q,'Master Data'!$A:$A,$D$11,'Master Data'!$B:$B,$C$4)</f>
        <v>-10437.14</v>
      </c>
      <c r="E22" s="28">
        <f>SUMIFS('Master Data'!$Q:$Q,'Master Data'!$A:$A,$E$11,'Master Data'!$B:$B,$C$4)</f>
        <v>0</v>
      </c>
      <c r="F22" s="28">
        <f>SUMIFS('Master Data'!$Q:$Q,'Master Data'!$A:$A,$F$11,'Master Data'!$B:$B,$C$4)</f>
        <v>0</v>
      </c>
      <c r="G22" s="28">
        <f>SUMIFS('Master Data'!$Q:$Q,'Master Data'!$A:$A,$G$11,'Master Data'!$B:$B,$C$4)</f>
        <v>0</v>
      </c>
      <c r="H22" s="28">
        <f>SUMIFS('Master Data'!$Q:$Q,'Master Data'!$A:$A,$H$11,'Master Data'!$B:$B,$C$4)</f>
        <v>0</v>
      </c>
      <c r="I22" s="28">
        <f>SUMIFS('Master Data'!$Q:$Q,'Master Data'!$A:$A,$I$11,'Master Data'!$B:$B,$C$4)</f>
        <v>0</v>
      </c>
      <c r="J22" s="28">
        <f>SUMIFS('Master Data'!$Q:$Q,'Master Data'!$A:$A,$J$11,'Master Data'!$B:$B,$C$4)</f>
        <v>0</v>
      </c>
      <c r="K22" s="28">
        <f>SUMIFS('Master Data'!$Q:$Q,'Master Data'!$A:$A,$K$11,'Master Data'!$B:$B,$C$4)</f>
        <v>0</v>
      </c>
      <c r="L22" s="28">
        <f>SUMIFS('Master Data'!$Q:$Q,'Master Data'!$A:$A,$L$11,'Master Data'!$B:$B,$C$4)</f>
        <v>0</v>
      </c>
      <c r="M22" s="28">
        <f>SUMIFS('Master Data'!$Q:$Q,'Master Data'!$A:$A,$M$11,'Master Data'!$B:$B,$C$4)</f>
        <v>0</v>
      </c>
      <c r="N22" s="28">
        <f>SUMIFS('Master Data'!$Q:$Q,'Master Data'!$A:$A,$N$11,'Master Data'!$B:$B,$C$4)</f>
        <v>0</v>
      </c>
      <c r="O22" s="26">
        <f t="shared" si="0"/>
        <v>-6325.8957603686667</v>
      </c>
    </row>
    <row r="23" spans="2:15" x14ac:dyDescent="0.3">
      <c r="B23" s="21" t="s">
        <v>37</v>
      </c>
      <c r="C23" s="25">
        <f>SUMIFS('Master Data'!$R:$R,'Master Data'!$A:$A,$C$11,'Master Data'!$B:$B,$C$4)</f>
        <v>25000</v>
      </c>
      <c r="D23" s="25">
        <f>SUMIFS('Master Data'!$R:$R,'Master Data'!$A:$A,$D$11,'Master Data'!$B:$B,$C$4)</f>
        <v>0</v>
      </c>
      <c r="E23" s="25">
        <f>SUMIFS('Master Data'!$R:$R,'Master Data'!$A:$A,$E$11,'Master Data'!$B:$B,$C$4)</f>
        <v>0</v>
      </c>
      <c r="F23" s="25">
        <f>SUMIFS('Master Data'!$R:$R,'Master Data'!$A:$A,$F$11,'Master Data'!$B:$B,$C$4)</f>
        <v>0</v>
      </c>
      <c r="G23" s="25">
        <f>SUMIFS('Master Data'!$R:$R,'Master Data'!$A:$A,$G$11,'Master Data'!$B:$B,$C$4)</f>
        <v>0</v>
      </c>
      <c r="H23" s="25">
        <f>SUMIFS('Master Data'!$R:$R,'Master Data'!$A:$A,$H$11,'Master Data'!$B:$B,$C$4)</f>
        <v>0</v>
      </c>
      <c r="I23" s="25">
        <f>SUMIFS('Master Data'!$R:$R,'Master Data'!$A:$A,$I$11,'Master Data'!$B:$B,$C$4)</f>
        <v>0</v>
      </c>
      <c r="J23" s="25">
        <f>SUMIFS('Master Data'!$R:$R,'Master Data'!$A:$A,$J$11,'Master Data'!$B:$B,$C$4)</f>
        <v>0</v>
      </c>
      <c r="K23" s="25">
        <f>SUMIFS('Master Data'!$R:$R,'Master Data'!$A:$A,$K$11,'Master Data'!$B:$B,$C$4)</f>
        <v>0</v>
      </c>
      <c r="L23" s="25">
        <f>SUMIFS('Master Data'!$R:$R,'Master Data'!$A:$A,$L$11,'Master Data'!$B:$B,$C$4)</f>
        <v>0</v>
      </c>
      <c r="M23" s="25">
        <f>SUMIFS('Master Data'!$R:$R,'Master Data'!$A:$A,$M$11,'Master Data'!$B:$B,$C$4)</f>
        <v>0</v>
      </c>
      <c r="N23" s="25">
        <f>SUMIFS('Master Data'!$R:$R,'Master Data'!$A:$A,$N$11,'Master Data'!$B:$B,$C$4)</f>
        <v>0</v>
      </c>
      <c r="O23" s="26">
        <f t="shared" si="0"/>
        <v>25000</v>
      </c>
    </row>
    <row r="24" spans="2:15" x14ac:dyDescent="0.3">
      <c r="B24" s="27" t="s">
        <v>342</v>
      </c>
      <c r="C24" s="28">
        <f>SUMIFS('Master Data'!$S:$S,'Master Data'!$A:$A,$C$11,'Master Data'!$B:$B,$C$4)</f>
        <v>-20888.755760368666</v>
      </c>
      <c r="D24" s="28">
        <f>SUMIFS('Master Data'!$S:$S,'Master Data'!$A:$A,$D$11,'Master Data'!$B:$B,$C$4)</f>
        <v>-10437.14</v>
      </c>
      <c r="E24" s="28">
        <f>SUMIFS('Master Data'!$S:$S,'Master Data'!$A:$A,$E$11,'Master Data'!$B:$B,$C$4)</f>
        <v>0</v>
      </c>
      <c r="F24" s="28">
        <f>SUMIFS('Master Data'!$S:$S,'Master Data'!$A:$A,$F$11,'Master Data'!$B:$B,$C$4)</f>
        <v>0</v>
      </c>
      <c r="G24" s="28">
        <f>SUMIFS('Master Data'!$S:$S,'Master Data'!$A:$A,$G$11,'Master Data'!$B:$B,$C$4)</f>
        <v>0</v>
      </c>
      <c r="H24" s="28">
        <f>SUMIFS('Master Data'!$S:$S,'Master Data'!$A:$A,$H$11,'Master Data'!$B:$B,$C$4)</f>
        <v>0</v>
      </c>
      <c r="I24" s="28">
        <f>SUMIFS('Master Data'!$S:$S,'Master Data'!$A:$A,$I$11,'Master Data'!$B:$B,$C$4)</f>
        <v>0</v>
      </c>
      <c r="J24" s="28">
        <f>SUMIFS('Master Data'!$S:$S,'Master Data'!$A:$A,$J$11,'Master Data'!$B:$B,$C$4)</f>
        <v>0</v>
      </c>
      <c r="K24" s="28">
        <f>SUMIFS('Master Data'!$S:$S,'Master Data'!$A:$A,$K$11,'Master Data'!$B:$B,$C$4)</f>
        <v>0</v>
      </c>
      <c r="L24" s="28">
        <f>SUMIFS('Master Data'!$S:$S,'Master Data'!$A:$A,$L$11,'Master Data'!$B:$B,$C$4)</f>
        <v>0</v>
      </c>
      <c r="M24" s="28">
        <f>SUMIFS('Master Data'!$S:$S,'Master Data'!$A:$A,$M$11,'Master Data'!$B:$B,$C$4)</f>
        <v>0</v>
      </c>
      <c r="N24" s="28">
        <f>SUMIFS('Master Data'!$S:$S,'Master Data'!$A:$A,$N$11,'Master Data'!$B:$B,$C$4)</f>
        <v>0</v>
      </c>
      <c r="O24" s="26">
        <f t="shared" si="0"/>
        <v>-31325.895760368665</v>
      </c>
    </row>
  </sheetData>
  <mergeCells count="13">
    <mergeCell ref="B8:C8"/>
    <mergeCell ref="D8:E8"/>
    <mergeCell ref="F8:G8"/>
    <mergeCell ref="H8:I8"/>
    <mergeCell ref="J8:K8"/>
    <mergeCell ref="B1:O1"/>
    <mergeCell ref="B2:O2"/>
    <mergeCell ref="C4:F4"/>
    <mergeCell ref="B7:C7"/>
    <mergeCell ref="D7:E7"/>
    <mergeCell ref="F7:G7"/>
    <mergeCell ref="H7:I7"/>
    <mergeCell ref="J7:K7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Lists!$A$2:$A$187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8" sqref="E8"/>
    </sheetView>
  </sheetViews>
  <sheetFormatPr defaultColWidth="8.6640625" defaultRowHeight="14.4" x14ac:dyDescent="0.3"/>
  <cols>
    <col min="1" max="1" width="2" customWidth="1"/>
    <col min="2" max="2" width="24" customWidth="1"/>
    <col min="3" max="14" width="12" customWidth="1"/>
    <col min="15" max="15" width="13" customWidth="1"/>
  </cols>
  <sheetData>
    <row r="1" spans="2:15" ht="27.75" customHeight="1" x14ac:dyDescent="0.3">
      <c r="B1" s="30" t="s">
        <v>336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2:15" x14ac:dyDescent="0.3">
      <c r="B2" s="31" t="s">
        <v>335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spans="2:15" ht="25.5" customHeight="1" x14ac:dyDescent="0.3">
      <c r="B4" s="18" t="s">
        <v>12</v>
      </c>
      <c r="C4" s="19" t="s">
        <v>13</v>
      </c>
      <c r="D4" s="19" t="s">
        <v>14</v>
      </c>
      <c r="E4" s="19" t="s">
        <v>15</v>
      </c>
      <c r="F4" s="19" t="s">
        <v>16</v>
      </c>
      <c r="G4" s="19" t="s">
        <v>17</v>
      </c>
      <c r="H4" s="19" t="s">
        <v>18</v>
      </c>
      <c r="I4" s="19" t="s">
        <v>19</v>
      </c>
      <c r="J4" s="19" t="s">
        <v>20</v>
      </c>
      <c r="K4" s="19" t="s">
        <v>21</v>
      </c>
      <c r="L4" s="19" t="s">
        <v>22</v>
      </c>
      <c r="M4" s="19" t="s">
        <v>23</v>
      </c>
      <c r="N4" s="19" t="s">
        <v>24</v>
      </c>
      <c r="O4" s="20" t="s">
        <v>25</v>
      </c>
    </row>
    <row r="5" spans="2:15" x14ac:dyDescent="0.3">
      <c r="B5" s="21" t="s">
        <v>39</v>
      </c>
      <c r="C5" s="22">
        <f>COUNTIFS('Master Data'!$A:$A,$C$4)</f>
        <v>184</v>
      </c>
      <c r="D5" s="22">
        <f>COUNTIFS('Master Data'!$A:$A,$D$4)</f>
        <v>186</v>
      </c>
      <c r="E5" s="22">
        <f>COUNTIFS('Master Data'!$A:$A,$E$4)</f>
        <v>0</v>
      </c>
      <c r="F5" s="22">
        <f>COUNTIFS('Master Data'!$A:$A,$F$4)</f>
        <v>0</v>
      </c>
      <c r="G5" s="22">
        <f>COUNTIFS('Master Data'!$A:$A,$G$4)</f>
        <v>0</v>
      </c>
      <c r="H5" s="22">
        <f>COUNTIFS('Master Data'!$A:$A,$H$4)</f>
        <v>0</v>
      </c>
      <c r="I5" s="22">
        <f>COUNTIFS('Master Data'!$A:$A,$I$4)</f>
        <v>0</v>
      </c>
      <c r="J5" s="22">
        <f>COUNTIFS('Master Data'!$A:$A,$J$4)</f>
        <v>0</v>
      </c>
      <c r="K5" s="22">
        <f>COUNTIFS('Master Data'!$A:$A,$K$4)</f>
        <v>0</v>
      </c>
      <c r="L5" s="22">
        <f>COUNTIFS('Master Data'!$A:$A,$L$4)</f>
        <v>0</v>
      </c>
      <c r="M5" s="22">
        <f>COUNTIFS('Master Data'!$A:$A,$M$4)</f>
        <v>0</v>
      </c>
      <c r="N5" s="22">
        <f>COUNTIFS('Master Data'!$A:$A,$N$4)</f>
        <v>0</v>
      </c>
      <c r="O5" s="24">
        <f>MAX(C5:N5)</f>
        <v>186</v>
      </c>
    </row>
    <row r="6" spans="2:15" x14ac:dyDescent="0.3">
      <c r="B6" s="21" t="s">
        <v>40</v>
      </c>
      <c r="C6" s="22">
        <f>SUMIFS('Master Data'!$G:$G,'Master Data'!$A:$A,$C$4)</f>
        <v>2597</v>
      </c>
      <c r="D6" s="22">
        <f>SUMIFS('Master Data'!$G:$G,'Master Data'!$A:$A,$D$4)</f>
        <v>2607.5</v>
      </c>
      <c r="E6" s="22">
        <f>SUMIFS('Master Data'!$G:$G,'Master Data'!$A:$A,$E$4)</f>
        <v>0</v>
      </c>
      <c r="F6" s="22">
        <f>SUMIFS('Master Data'!$G:$G,'Master Data'!$A:$A,$F$4)</f>
        <v>0</v>
      </c>
      <c r="G6" s="22">
        <f>SUMIFS('Master Data'!$G:$G,'Master Data'!$A:$A,$G$4)</f>
        <v>0</v>
      </c>
      <c r="H6" s="22">
        <f>SUMIFS('Master Data'!$G:$G,'Master Data'!$A:$A,$H$4)</f>
        <v>0</v>
      </c>
      <c r="I6" s="22">
        <f>SUMIFS('Master Data'!$G:$G,'Master Data'!$A:$A,$I$4)</f>
        <v>0</v>
      </c>
      <c r="J6" s="22">
        <f>SUMIFS('Master Data'!$G:$G,'Master Data'!$A:$A,$J$4)</f>
        <v>0</v>
      </c>
      <c r="K6" s="22">
        <f>SUMIFS('Master Data'!$G:$G,'Master Data'!$A:$A,$K$4)</f>
        <v>0</v>
      </c>
      <c r="L6" s="22">
        <f>SUMIFS('Master Data'!$G:$G,'Master Data'!$A:$A,$L$4)</f>
        <v>0</v>
      </c>
      <c r="M6" s="22">
        <f>SUMIFS('Master Data'!$G:$G,'Master Data'!$A:$A,$M$4)</f>
        <v>0</v>
      </c>
      <c r="N6" s="22">
        <f>SUMIFS('Master Data'!$G:$G,'Master Data'!$A:$A,$N$4)</f>
        <v>0</v>
      </c>
      <c r="O6" s="24">
        <f t="shared" ref="O6:O16" si="0">SUM(C6:N6)</f>
        <v>5204.5</v>
      </c>
    </row>
    <row r="7" spans="2:15" x14ac:dyDescent="0.3">
      <c r="B7" s="21" t="s">
        <v>41</v>
      </c>
      <c r="C7" s="22">
        <f>SUMIFS('Master Data'!$H:$H,'Master Data'!$A:$A,$C$4)</f>
        <v>2923</v>
      </c>
      <c r="D7" s="22">
        <f>SUMIFS('Master Data'!$H:$H,'Master Data'!$A:$A,$D$4)</f>
        <v>3158.5</v>
      </c>
      <c r="E7" s="22">
        <f>SUMIFS('Master Data'!$H:$H,'Master Data'!$A:$A,$E$4)</f>
        <v>0</v>
      </c>
      <c r="F7" s="22">
        <f>SUMIFS('Master Data'!$H:$H,'Master Data'!$A:$A,$F$4)</f>
        <v>0</v>
      </c>
      <c r="G7" s="22">
        <f>SUMIFS('Master Data'!$H:$H,'Master Data'!$A:$A,$G$4)</f>
        <v>0</v>
      </c>
      <c r="H7" s="22">
        <f>SUMIFS('Master Data'!$H:$H,'Master Data'!$A:$A,$H$4)</f>
        <v>0</v>
      </c>
      <c r="I7" s="22">
        <f>SUMIFS('Master Data'!$H:$H,'Master Data'!$A:$A,$I$4)</f>
        <v>0</v>
      </c>
      <c r="J7" s="22">
        <f>SUMIFS('Master Data'!$H:$H,'Master Data'!$A:$A,$J$4)</f>
        <v>0</v>
      </c>
      <c r="K7" s="22">
        <f>SUMIFS('Master Data'!$H:$H,'Master Data'!$A:$A,$K$4)</f>
        <v>0</v>
      </c>
      <c r="L7" s="22">
        <f>SUMIFS('Master Data'!$H:$H,'Master Data'!$A:$A,$L$4)</f>
        <v>0</v>
      </c>
      <c r="M7" s="22">
        <f>SUMIFS('Master Data'!$H:$H,'Master Data'!$A:$A,$M$4)</f>
        <v>0</v>
      </c>
      <c r="N7" s="22">
        <f>SUMIFS('Master Data'!$H:$H,'Master Data'!$A:$A,$N$4)</f>
        <v>0</v>
      </c>
      <c r="O7" s="24">
        <f t="shared" si="0"/>
        <v>6081.5</v>
      </c>
    </row>
    <row r="8" spans="2:15" x14ac:dyDescent="0.3">
      <c r="B8" s="21" t="s">
        <v>42</v>
      </c>
      <c r="C8" s="22">
        <f>SUMIFS('Master Data'!$J:$J,'Master Data'!$A:$A,$C$4)</f>
        <v>367</v>
      </c>
      <c r="D8" s="22">
        <f>SUMIFS('Master Data'!$J:$J,'Master Data'!$A:$A,$D$4)</f>
        <v>590</v>
      </c>
      <c r="E8" s="22">
        <f>SUMIFS('Master Data'!$J:$J,'Master Data'!$A:$A,$E$4)</f>
        <v>0</v>
      </c>
      <c r="F8" s="22">
        <f>SUMIFS('Master Data'!$J:$J,'Master Data'!$A:$A,$F$4)</f>
        <v>0</v>
      </c>
      <c r="G8" s="22">
        <f>SUMIFS('Master Data'!$J:$J,'Master Data'!$A:$A,$G$4)</f>
        <v>0</v>
      </c>
      <c r="H8" s="22">
        <f>SUMIFS('Master Data'!$J:$J,'Master Data'!$A:$A,$H$4)</f>
        <v>0</v>
      </c>
      <c r="I8" s="22">
        <f>SUMIFS('Master Data'!$J:$J,'Master Data'!$A:$A,$I$4)</f>
        <v>0</v>
      </c>
      <c r="J8" s="22">
        <f>SUMIFS('Master Data'!$J:$J,'Master Data'!$A:$A,$J$4)</f>
        <v>0</v>
      </c>
      <c r="K8" s="22">
        <f>SUMIFS('Master Data'!$J:$J,'Master Data'!$A:$A,$K$4)</f>
        <v>0</v>
      </c>
      <c r="L8" s="22">
        <f>SUMIFS('Master Data'!$J:$J,'Master Data'!$A:$A,$L$4)</f>
        <v>0</v>
      </c>
      <c r="M8" s="22">
        <f>SUMIFS('Master Data'!$J:$J,'Master Data'!$A:$A,$M$4)</f>
        <v>0</v>
      </c>
      <c r="N8" s="22">
        <f>SUMIFS('Master Data'!$J:$J,'Master Data'!$A:$A,$N$4)</f>
        <v>0</v>
      </c>
      <c r="O8" s="24">
        <f t="shared" si="0"/>
        <v>957</v>
      </c>
    </row>
    <row r="9" spans="2:15" x14ac:dyDescent="0.3">
      <c r="B9" s="21" t="s">
        <v>43</v>
      </c>
      <c r="C9" s="22">
        <f>SUMIFS('Master Data'!$K:$K,'Master Data'!$A:$A,$C$4)</f>
        <v>185</v>
      </c>
      <c r="D9" s="22">
        <f>SUMIFS('Master Data'!$K:$K,'Master Data'!$A:$A,$D$4)</f>
        <v>283</v>
      </c>
      <c r="E9" s="22">
        <f>SUMIFS('Master Data'!$K:$K,'Master Data'!$A:$A,$E$4)</f>
        <v>0</v>
      </c>
      <c r="F9" s="22">
        <f>SUMIFS('Master Data'!$K:$K,'Master Data'!$A:$A,$F$4)</f>
        <v>0</v>
      </c>
      <c r="G9" s="22">
        <f>SUMIFS('Master Data'!$K:$K,'Master Data'!$A:$A,$G$4)</f>
        <v>0</v>
      </c>
      <c r="H9" s="22">
        <f>SUMIFS('Master Data'!$K:$K,'Master Data'!$A:$A,$H$4)</f>
        <v>0</v>
      </c>
      <c r="I9" s="22">
        <f>SUMIFS('Master Data'!$K:$K,'Master Data'!$A:$A,$I$4)</f>
        <v>0</v>
      </c>
      <c r="J9" s="22">
        <f>SUMIFS('Master Data'!$K:$K,'Master Data'!$A:$A,$J$4)</f>
        <v>0</v>
      </c>
      <c r="K9" s="22">
        <f>SUMIFS('Master Data'!$K:$K,'Master Data'!$A:$A,$K$4)</f>
        <v>0</v>
      </c>
      <c r="L9" s="22">
        <f>SUMIFS('Master Data'!$K:$K,'Master Data'!$A:$A,$L$4)</f>
        <v>0</v>
      </c>
      <c r="M9" s="22">
        <f>SUMIFS('Master Data'!$K:$K,'Master Data'!$A:$A,$M$4)</f>
        <v>0</v>
      </c>
      <c r="N9" s="22">
        <f>SUMIFS('Master Data'!$K:$K,'Master Data'!$A:$A,$N$4)</f>
        <v>0</v>
      </c>
      <c r="O9" s="24">
        <f t="shared" si="0"/>
        <v>468</v>
      </c>
    </row>
    <row r="10" spans="2:15" x14ac:dyDescent="0.3">
      <c r="B10" s="21" t="s">
        <v>44</v>
      </c>
      <c r="C10" s="25">
        <f>SUMIFS('Master Data'!$M:$M,'Master Data'!$A:$A,$C$4)</f>
        <v>2350200</v>
      </c>
      <c r="D10" s="25">
        <f>SUMIFS('Master Data'!$M:$M,'Master Data'!$A:$A,$D$4)</f>
        <v>2373200</v>
      </c>
      <c r="E10" s="25">
        <f>SUMIFS('Master Data'!$M:$M,'Master Data'!$A:$A,$E$4)</f>
        <v>0</v>
      </c>
      <c r="F10" s="25">
        <f>SUMIFS('Master Data'!$M:$M,'Master Data'!$A:$A,$F$4)</f>
        <v>0</v>
      </c>
      <c r="G10" s="25">
        <f>SUMIFS('Master Data'!$M:$M,'Master Data'!$A:$A,$G$4)</f>
        <v>0</v>
      </c>
      <c r="H10" s="25">
        <f>SUMIFS('Master Data'!$M:$M,'Master Data'!$A:$A,$H$4)</f>
        <v>0</v>
      </c>
      <c r="I10" s="25">
        <f>SUMIFS('Master Data'!$M:$M,'Master Data'!$A:$A,$I$4)</f>
        <v>0</v>
      </c>
      <c r="J10" s="25">
        <f>SUMIFS('Master Data'!$M:$M,'Master Data'!$A:$A,$J$4)</f>
        <v>0</v>
      </c>
      <c r="K10" s="25">
        <f>SUMIFS('Master Data'!$M:$M,'Master Data'!$A:$A,$K$4)</f>
        <v>0</v>
      </c>
      <c r="L10" s="25">
        <f>SUMIFS('Master Data'!$M:$M,'Master Data'!$A:$A,$L$4)</f>
        <v>0</v>
      </c>
      <c r="M10" s="25">
        <f>SUMIFS('Master Data'!$M:$M,'Master Data'!$A:$A,$M$4)</f>
        <v>0</v>
      </c>
      <c r="N10" s="25">
        <f>SUMIFS('Master Data'!$M:$M,'Master Data'!$A:$A,$N$4)</f>
        <v>0</v>
      </c>
      <c r="O10" s="26">
        <f t="shared" si="0"/>
        <v>4723400</v>
      </c>
    </row>
    <row r="11" spans="2:15" x14ac:dyDescent="0.3">
      <c r="B11" s="21" t="s">
        <v>33</v>
      </c>
      <c r="C11" s="25">
        <f>SUMIFS('Master Data'!$N:$N,'Master Data'!$A:$A,$C$4)</f>
        <v>1313483.3333333333</v>
      </c>
      <c r="D11" s="25">
        <f>SUMIFS('Master Data'!$N:$N,'Master Data'!$A:$A,$D$4)</f>
        <v>1275687.0999999996</v>
      </c>
      <c r="E11" s="25">
        <f>SUMIFS('Master Data'!$N:$N,'Master Data'!$A:$A,$E$4)</f>
        <v>0</v>
      </c>
      <c r="F11" s="25">
        <f>SUMIFS('Master Data'!$N:$N,'Master Data'!$A:$A,$F$4)</f>
        <v>0</v>
      </c>
      <c r="G11" s="25">
        <f>SUMIFS('Master Data'!$N:$N,'Master Data'!$A:$A,$G$4)</f>
        <v>0</v>
      </c>
      <c r="H11" s="25">
        <f>SUMIFS('Master Data'!$N:$N,'Master Data'!$A:$A,$H$4)</f>
        <v>0</v>
      </c>
      <c r="I11" s="25">
        <f>SUMIFS('Master Data'!$N:$N,'Master Data'!$A:$A,$I$4)</f>
        <v>0</v>
      </c>
      <c r="J11" s="25">
        <f>SUMIFS('Master Data'!$N:$N,'Master Data'!$A:$A,$J$4)</f>
        <v>0</v>
      </c>
      <c r="K11" s="25">
        <f>SUMIFS('Master Data'!$N:$N,'Master Data'!$A:$A,$K$4)</f>
        <v>0</v>
      </c>
      <c r="L11" s="25">
        <f>SUMIFS('Master Data'!$N:$N,'Master Data'!$A:$A,$L$4)</f>
        <v>0</v>
      </c>
      <c r="M11" s="25">
        <f>SUMIFS('Master Data'!$N:$N,'Master Data'!$A:$A,$M$4)</f>
        <v>0</v>
      </c>
      <c r="N11" s="25">
        <f>SUMIFS('Master Data'!$N:$N,'Master Data'!$A:$A,$N$4)</f>
        <v>0</v>
      </c>
      <c r="O11" s="26">
        <f t="shared" si="0"/>
        <v>2589170.4333333327</v>
      </c>
    </row>
    <row r="12" spans="2:15" x14ac:dyDescent="0.3">
      <c r="B12" s="27" t="s">
        <v>34</v>
      </c>
      <c r="C12" s="29">
        <f>SUMIFS('Master Data'!$O:$O,'Master Data'!$A:$A,$C$4)</f>
        <v>228743.56230414749</v>
      </c>
      <c r="D12" s="29">
        <f>SUMIFS('Master Data'!$O:$O,'Master Data'!$A:$A,$D$4)</f>
        <v>204182.17999999996</v>
      </c>
      <c r="E12" s="29">
        <f>SUMIFS('Master Data'!$O:$O,'Master Data'!$A:$A,$E$4)</f>
        <v>0</v>
      </c>
      <c r="F12" s="29">
        <f>SUMIFS('Master Data'!$O:$O,'Master Data'!$A:$A,$F$4)</f>
        <v>0</v>
      </c>
      <c r="G12" s="29">
        <f>SUMIFS('Master Data'!$O:$O,'Master Data'!$A:$A,$G$4)</f>
        <v>0</v>
      </c>
      <c r="H12" s="29">
        <f>SUMIFS('Master Data'!$O:$O,'Master Data'!$A:$A,$H$4)</f>
        <v>0</v>
      </c>
      <c r="I12" s="29">
        <f>SUMIFS('Master Data'!$O:$O,'Master Data'!$A:$A,$I$4)</f>
        <v>0</v>
      </c>
      <c r="J12" s="29">
        <f>SUMIFS('Master Data'!$O:$O,'Master Data'!$A:$A,$J$4)</f>
        <v>0</v>
      </c>
      <c r="K12" s="29">
        <f>SUMIFS('Master Data'!$O:$O,'Master Data'!$A:$A,$K$4)</f>
        <v>0</v>
      </c>
      <c r="L12" s="29">
        <f>SUMIFS('Master Data'!$O:$O,'Master Data'!$A:$A,$L$4)</f>
        <v>0</v>
      </c>
      <c r="M12" s="29">
        <f>SUMIFS('Master Data'!$O:$O,'Master Data'!$A:$A,$M$4)</f>
        <v>0</v>
      </c>
      <c r="N12" s="29">
        <f>SUMIFS('Master Data'!$O:$O,'Master Data'!$A:$A,$N$4)</f>
        <v>0</v>
      </c>
      <c r="O12" s="26">
        <f t="shared" si="0"/>
        <v>432925.74230414745</v>
      </c>
    </row>
    <row r="13" spans="2:15" x14ac:dyDescent="0.3">
      <c r="B13" s="21" t="s">
        <v>35</v>
      </c>
      <c r="C13" s="25">
        <f>SUMIFS('Master Data'!$P:$P,'Master Data'!$A:$A,$C$4)</f>
        <v>908126.87721966195</v>
      </c>
      <c r="D13" s="25">
        <f>SUMIFS('Master Data'!$P:$P,'Master Data'!$A:$A,$D$4)</f>
        <v>0</v>
      </c>
      <c r="E13" s="25">
        <f>SUMIFS('Master Data'!$P:$P,'Master Data'!$A:$A,$E$4)</f>
        <v>0</v>
      </c>
      <c r="F13" s="25">
        <f>SUMIFS('Master Data'!$P:$P,'Master Data'!$A:$A,$F$4)</f>
        <v>0</v>
      </c>
      <c r="G13" s="25">
        <f>SUMIFS('Master Data'!$P:$P,'Master Data'!$A:$A,$G$4)</f>
        <v>0</v>
      </c>
      <c r="H13" s="25">
        <f>SUMIFS('Master Data'!$P:$P,'Master Data'!$A:$A,$H$4)</f>
        <v>0</v>
      </c>
      <c r="I13" s="25">
        <f>SUMIFS('Master Data'!$P:$P,'Master Data'!$A:$A,$I$4)</f>
        <v>0</v>
      </c>
      <c r="J13" s="25">
        <f>SUMIFS('Master Data'!$P:$P,'Master Data'!$A:$A,$J$4)</f>
        <v>0</v>
      </c>
      <c r="K13" s="25">
        <f>SUMIFS('Master Data'!$P:$P,'Master Data'!$A:$A,$K$4)</f>
        <v>0</v>
      </c>
      <c r="L13" s="25">
        <f>SUMIFS('Master Data'!$P:$P,'Master Data'!$A:$A,$L$4)</f>
        <v>0</v>
      </c>
      <c r="M13" s="25">
        <f>SUMIFS('Master Data'!$P:$P,'Master Data'!$A:$A,$M$4)</f>
        <v>0</v>
      </c>
      <c r="N13" s="25">
        <f>SUMIFS('Master Data'!$P:$P,'Master Data'!$A:$A,$N$4)</f>
        <v>0</v>
      </c>
      <c r="O13" s="26">
        <f t="shared" si="0"/>
        <v>908126.87721966195</v>
      </c>
    </row>
    <row r="14" spans="2:15" x14ac:dyDescent="0.3">
      <c r="B14" s="27" t="s">
        <v>36</v>
      </c>
      <c r="C14" s="29">
        <f>SUMIFS('Master Data'!$Q:$Q,'Master Data'!$A:$A,$C$4)</f>
        <v>1992866.648248848</v>
      </c>
      <c r="D14" s="29">
        <f>SUMIFS('Master Data'!$Q:$Q,'Master Data'!$A:$A,$D$4)</f>
        <v>1233815.7299999991</v>
      </c>
      <c r="E14" s="29">
        <f>SUMIFS('Master Data'!$Q:$Q,'Master Data'!$A:$A,$E$4)</f>
        <v>0</v>
      </c>
      <c r="F14" s="29">
        <f>SUMIFS('Master Data'!$Q:$Q,'Master Data'!$A:$A,$F$4)</f>
        <v>0</v>
      </c>
      <c r="G14" s="29">
        <f>SUMIFS('Master Data'!$Q:$Q,'Master Data'!$A:$A,$G$4)</f>
        <v>0</v>
      </c>
      <c r="H14" s="29">
        <f>SUMIFS('Master Data'!$Q:$Q,'Master Data'!$A:$A,$H$4)</f>
        <v>0</v>
      </c>
      <c r="I14" s="29">
        <f>SUMIFS('Master Data'!$Q:$Q,'Master Data'!$A:$A,$I$4)</f>
        <v>0</v>
      </c>
      <c r="J14" s="29">
        <f>SUMIFS('Master Data'!$Q:$Q,'Master Data'!$A:$A,$J$4)</f>
        <v>0</v>
      </c>
      <c r="K14" s="29">
        <f>SUMIFS('Master Data'!$Q:$Q,'Master Data'!$A:$A,$K$4)</f>
        <v>0</v>
      </c>
      <c r="L14" s="29">
        <f>SUMIFS('Master Data'!$Q:$Q,'Master Data'!$A:$A,$L$4)</f>
        <v>0</v>
      </c>
      <c r="M14" s="29">
        <f>SUMIFS('Master Data'!$Q:$Q,'Master Data'!$A:$A,$M$4)</f>
        <v>0</v>
      </c>
      <c r="N14" s="29">
        <f>SUMIFS('Master Data'!$Q:$Q,'Master Data'!$A:$A,$N$4)</f>
        <v>0</v>
      </c>
      <c r="O14" s="26">
        <f t="shared" si="0"/>
        <v>3226682.3782488471</v>
      </c>
    </row>
    <row r="15" spans="2:15" x14ac:dyDescent="0.3">
      <c r="B15" s="21" t="s">
        <v>45</v>
      </c>
      <c r="C15" s="25">
        <f>SUMIFS('Master Data'!$R:$R,'Master Data'!$A:$A,$C$4)</f>
        <v>2034738</v>
      </c>
      <c r="D15" s="25">
        <f>SUMIFS('Master Data'!$R:$R,'Master Data'!$A:$A,$D$4)</f>
        <v>3300</v>
      </c>
      <c r="E15" s="25">
        <f>SUMIFS('Master Data'!$R:$R,'Master Data'!$A:$A,$E$4)</f>
        <v>0</v>
      </c>
      <c r="F15" s="25">
        <f>SUMIFS('Master Data'!$R:$R,'Master Data'!$A:$A,$F$4)</f>
        <v>0</v>
      </c>
      <c r="G15" s="25">
        <f>SUMIFS('Master Data'!$R:$R,'Master Data'!$A:$A,$G$4)</f>
        <v>0</v>
      </c>
      <c r="H15" s="25">
        <f>SUMIFS('Master Data'!$R:$R,'Master Data'!$A:$A,$H$4)</f>
        <v>0</v>
      </c>
      <c r="I15" s="25">
        <f>SUMIFS('Master Data'!$R:$R,'Master Data'!$A:$A,$I$4)</f>
        <v>0</v>
      </c>
      <c r="J15" s="25">
        <f>SUMIFS('Master Data'!$R:$R,'Master Data'!$A:$A,$J$4)</f>
        <v>0</v>
      </c>
      <c r="K15" s="25">
        <f>SUMIFS('Master Data'!$R:$R,'Master Data'!$A:$A,$K$4)</f>
        <v>0</v>
      </c>
      <c r="L15" s="25">
        <f>SUMIFS('Master Data'!$R:$R,'Master Data'!$A:$A,$L$4)</f>
        <v>0</v>
      </c>
      <c r="M15" s="25">
        <f>SUMIFS('Master Data'!$R:$R,'Master Data'!$A:$A,$M$4)</f>
        <v>0</v>
      </c>
      <c r="N15" s="25">
        <f>SUMIFS('Master Data'!$R:$R,'Master Data'!$A:$A,$N$4)</f>
        <v>0</v>
      </c>
      <c r="O15" s="26">
        <f t="shared" si="0"/>
        <v>2038038</v>
      </c>
    </row>
    <row r="16" spans="2:15" x14ac:dyDescent="0.3">
      <c r="B16" s="27" t="s">
        <v>46</v>
      </c>
      <c r="C16" s="29">
        <f>SUMIFS('Master Data'!$S:$S,'Master Data'!$A:$A,$C$4)</f>
        <v>-41871.351751152033</v>
      </c>
      <c r="D16" s="29">
        <f>SUMIFS('Master Data'!$S:$S,'Master Data'!$A:$A,$D$4)</f>
        <v>1230515.7299999991</v>
      </c>
      <c r="E16" s="29">
        <f>SUMIFS('Master Data'!$S:$S,'Master Data'!$A:$A,$E$4)</f>
        <v>0</v>
      </c>
      <c r="F16" s="29">
        <f>SUMIFS('Master Data'!$S:$S,'Master Data'!$A:$A,$F$4)</f>
        <v>0</v>
      </c>
      <c r="G16" s="29">
        <f>SUMIFS('Master Data'!$S:$S,'Master Data'!$A:$A,$G$4)</f>
        <v>0</v>
      </c>
      <c r="H16" s="29">
        <f>SUMIFS('Master Data'!$S:$S,'Master Data'!$A:$A,$H$4)</f>
        <v>0</v>
      </c>
      <c r="I16" s="29">
        <f>SUMIFS('Master Data'!$S:$S,'Master Data'!$A:$A,$I$4)</f>
        <v>0</v>
      </c>
      <c r="J16" s="29">
        <f>SUMIFS('Master Data'!$S:$S,'Master Data'!$A:$A,$J$4)</f>
        <v>0</v>
      </c>
      <c r="K16" s="29">
        <f>SUMIFS('Master Data'!$S:$S,'Master Data'!$A:$A,$K$4)</f>
        <v>0</v>
      </c>
      <c r="L16" s="29">
        <f>SUMIFS('Master Data'!$S:$S,'Master Data'!$A:$A,$L$4)</f>
        <v>0</v>
      </c>
      <c r="M16" s="29">
        <f>SUMIFS('Master Data'!$S:$S,'Master Data'!$A:$A,$M$4)</f>
        <v>0</v>
      </c>
      <c r="N16" s="29">
        <f>SUMIFS('Master Data'!$S:$S,'Master Data'!$A:$A,$N$4)</f>
        <v>0</v>
      </c>
      <c r="O16" s="26">
        <f t="shared" si="0"/>
        <v>1188644.3782488471</v>
      </c>
    </row>
  </sheetData>
  <mergeCells count="2">
    <mergeCell ref="B1:O1"/>
    <mergeCell ref="B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71"/>
  <sheetViews>
    <sheetView showGridLines="0"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ColWidth="8.6640625" defaultRowHeight="14.4" x14ac:dyDescent="0.3"/>
  <cols>
    <col min="1" max="1" width="11" customWidth="1"/>
    <col min="2" max="2" width="30" customWidth="1"/>
    <col min="3" max="3" width="8" customWidth="1"/>
    <col min="4" max="4" width="18" customWidth="1"/>
    <col min="5" max="5" width="16" customWidth="1"/>
    <col min="6" max="8" width="10" customWidth="1"/>
    <col min="9" max="11" width="11" customWidth="1"/>
    <col min="12" max="12" width="12" customWidth="1"/>
    <col min="13" max="14" width="13" customWidth="1"/>
    <col min="15" max="16" width="14" customWidth="1"/>
    <col min="17" max="17" width="13" customWidth="1"/>
    <col min="18" max="19" width="12" customWidth="1"/>
  </cols>
  <sheetData>
    <row r="1" spans="1:19" ht="37.5" customHeight="1" x14ac:dyDescent="0.3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26</v>
      </c>
      <c r="G1" s="7" t="s">
        <v>27</v>
      </c>
      <c r="H1" s="7" t="s">
        <v>28</v>
      </c>
      <c r="I1" s="7" t="s">
        <v>52</v>
      </c>
      <c r="J1" s="7" t="s">
        <v>29</v>
      </c>
      <c r="K1" s="7" t="s">
        <v>30</v>
      </c>
      <c r="L1" s="7" t="s">
        <v>53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</row>
    <row r="2" spans="1:19" x14ac:dyDescent="0.3">
      <c r="A2" s="8" t="s">
        <v>13</v>
      </c>
      <c r="B2" s="9" t="s">
        <v>3</v>
      </c>
      <c r="C2" s="9" t="s">
        <v>54</v>
      </c>
      <c r="D2" s="9" t="s">
        <v>55</v>
      </c>
      <c r="E2" s="9" t="s">
        <v>56</v>
      </c>
      <c r="F2" s="10">
        <v>30</v>
      </c>
      <c r="G2" s="10">
        <v>27</v>
      </c>
      <c r="H2" s="10">
        <v>3</v>
      </c>
      <c r="I2" s="10">
        <f>VLOOKUP(B2,'[1]Wages Sheet'!$B$8:$J$192,9,FALSE)</f>
        <v>-2.5</v>
      </c>
      <c r="J2" s="10">
        <f>SUM(VLOOKUP(B2,'[1]Wages Sheet'!$B$8:$K$192,10,FALSE)+(VLOOKUP(B2,'[1]Wages Sheet'!$B$8:$L$192,11,FALSE)))</f>
        <v>4</v>
      </c>
      <c r="K2" s="10">
        <f>VLOOKUP(B2,'[1]Wages Sheet'!$B$8:$O$192,14,FALSE)</f>
        <v>3</v>
      </c>
      <c r="L2" s="10">
        <f>VLOOKUP(B2,'[1]Wages Sheet'!$B$8:$Q$192,16,FALSE)</f>
        <v>1</v>
      </c>
      <c r="M2" s="11">
        <f>VLOOKUP(B2,'[1]Wages Sheet'!$B$8:$T$193,19,FALSE)</f>
        <v>9000</v>
      </c>
      <c r="N2" s="11">
        <f>VLOOKUP(B2,'[1]Wages Sheet'!$B$8:$U$192,20,FALSE)</f>
        <v>9000</v>
      </c>
      <c r="O2" s="11">
        <f>VLOOKUP(B2,'[1]Wages Sheet'!$B$8:$W$192,22,FALSE)</f>
        <v>0</v>
      </c>
      <c r="P2" s="11">
        <f>VLOOKUP(B2,'[1]Wages Sheet'!$B$8:$Z$192,25,FALSE)</f>
        <v>2999.032258064517</v>
      </c>
      <c r="Q2" s="11">
        <f>VLOOKUP(B2,'[1]Wages Sheet'!$B$8:$AD$192,28,FALSE)</f>
        <v>11999.032258064517</v>
      </c>
      <c r="R2" s="11">
        <f>VLOOKUP(B2,'[1]Wages Sheet'!$B$8:$AD$192,29,FALSE)</f>
        <v>12000</v>
      </c>
      <c r="S2" s="11">
        <f>VLOOKUP(B2,'[1]Wages Sheet'!$B$8:$AF$192,31,FALSE)</f>
        <v>-0.96774193548299081</v>
      </c>
    </row>
    <row r="3" spans="1:19" x14ac:dyDescent="0.3">
      <c r="A3" s="8" t="s">
        <v>13</v>
      </c>
      <c r="B3" s="9" t="s">
        <v>57</v>
      </c>
      <c r="C3" s="9" t="s">
        <v>54</v>
      </c>
      <c r="D3" s="9" t="s">
        <v>58</v>
      </c>
      <c r="E3" s="9" t="s">
        <v>59</v>
      </c>
      <c r="F3" s="10">
        <v>30</v>
      </c>
      <c r="G3" s="10">
        <v>15</v>
      </c>
      <c r="H3" s="10">
        <v>15</v>
      </c>
      <c r="I3" s="10">
        <f>VLOOKUP(B3,'[1]Wages Sheet'!$B$8:$J$192,9,FALSE)</f>
        <v>2</v>
      </c>
      <c r="J3" s="10">
        <f>SUM(VLOOKUP(B3,'[1]Wages Sheet'!$B$8:$K$192,10,FALSE)+(VLOOKUP(B3,'[1]Wages Sheet'!$B$8:$L$192,11,FALSE)))</f>
        <v>8</v>
      </c>
      <c r="K3" s="10">
        <f>VLOOKUP(B3,'[1]Wages Sheet'!$B$8:$O$192,14,FALSE)</f>
        <v>0</v>
      </c>
      <c r="L3" s="10">
        <f>VLOOKUP(B3,'[1]Wages Sheet'!$B$8:$Q$192,16,FALSE)</f>
        <v>0</v>
      </c>
      <c r="M3" s="11">
        <f>VLOOKUP(B3,'[1]Wages Sheet'!$B$8:$T$193,19,FALSE)</f>
        <v>9500</v>
      </c>
      <c r="N3" s="11">
        <f>VLOOKUP(B3,'[1]Wages Sheet'!$B$8:$U$192,20,FALSE)</f>
        <v>7916.666666666667</v>
      </c>
      <c r="O3" s="11">
        <f>VLOOKUP(B3,'[1]Wages Sheet'!$B$8:$W$192,22,FALSE)</f>
        <v>0</v>
      </c>
      <c r="P3" s="11">
        <f>VLOOKUP(B3,'[1]Wages Sheet'!$B$8:$Z$192,25,FALSE)</f>
        <v>9500</v>
      </c>
      <c r="Q3" s="11">
        <f>VLOOKUP(B3,'[1]Wages Sheet'!$B$8:$AD$192,28,FALSE)</f>
        <v>17416.666666666668</v>
      </c>
      <c r="R3" s="11">
        <f>VLOOKUP(B3,'[1]Wages Sheet'!$B$8:$AD$192,29,FALSE)</f>
        <v>17500</v>
      </c>
      <c r="S3" s="11">
        <f>VLOOKUP(B3,'[1]Wages Sheet'!$B$8:$AF$192,31,FALSE)</f>
        <v>-83.333333333332121</v>
      </c>
    </row>
    <row r="4" spans="1:19" x14ac:dyDescent="0.3">
      <c r="A4" s="8" t="s">
        <v>13</v>
      </c>
      <c r="B4" s="9" t="s">
        <v>60</v>
      </c>
      <c r="C4" s="9" t="s">
        <v>54</v>
      </c>
      <c r="D4" s="9" t="s">
        <v>58</v>
      </c>
      <c r="E4" s="9"/>
      <c r="F4" s="10">
        <v>30</v>
      </c>
      <c r="G4" s="10">
        <v>0</v>
      </c>
      <c r="H4" s="10">
        <v>30</v>
      </c>
      <c r="I4" s="10">
        <f>VLOOKUP(B4,'[1]Wages Sheet'!$B$8:$J$192,9,FALSE)</f>
        <v>0</v>
      </c>
      <c r="J4" s="10">
        <f>SUM(VLOOKUP(B4,'[1]Wages Sheet'!$B$8:$K$192,10,FALSE)+(VLOOKUP(B4,'[1]Wages Sheet'!$B$8:$L$192,11,FALSE)))</f>
        <v>0</v>
      </c>
      <c r="K4" s="10">
        <f>VLOOKUP(B4,'[1]Wages Sheet'!$B$8:$O$192,14,FALSE)</f>
        <v>0</v>
      </c>
      <c r="L4" s="10">
        <f>VLOOKUP(B4,'[1]Wages Sheet'!$B$8:$Q$192,16,FALSE)</f>
        <v>0</v>
      </c>
      <c r="M4" s="11">
        <f>VLOOKUP(B4,'[1]Wages Sheet'!$B$8:$T$193,19,FALSE)</f>
        <v>9500</v>
      </c>
      <c r="N4" s="11">
        <f>VLOOKUP(B4,'[1]Wages Sheet'!$B$8:$U$192,20,FALSE)</f>
        <v>0</v>
      </c>
      <c r="O4" s="11">
        <f>VLOOKUP(B4,'[1]Wages Sheet'!$B$8:$W$192,22,FALSE)</f>
        <v>0</v>
      </c>
      <c r="P4" s="11">
        <f>VLOOKUP(B4,'[1]Wages Sheet'!$B$8:$Z$192,25,FALSE)</f>
        <v>0</v>
      </c>
      <c r="Q4" s="11">
        <f>VLOOKUP(B4,'[1]Wages Sheet'!$B$8:$AD$192,28,FALSE)</f>
        <v>0</v>
      </c>
      <c r="R4" s="11">
        <f>VLOOKUP(B4,'[1]Wages Sheet'!$B$8:$AD$192,29,FALSE)</f>
        <v>0</v>
      </c>
      <c r="S4" s="11">
        <f>VLOOKUP(B4,'[1]Wages Sheet'!$B$8:$AF$192,31,FALSE)</f>
        <v>0</v>
      </c>
    </row>
    <row r="5" spans="1:19" x14ac:dyDescent="0.3">
      <c r="A5" s="8" t="s">
        <v>13</v>
      </c>
      <c r="B5" s="9" t="s">
        <v>61</v>
      </c>
      <c r="C5" s="9" t="s">
        <v>54</v>
      </c>
      <c r="D5" s="9" t="s">
        <v>62</v>
      </c>
      <c r="E5" s="9"/>
      <c r="F5" s="10">
        <v>30</v>
      </c>
      <c r="G5" s="10">
        <v>0</v>
      </c>
      <c r="H5" s="10">
        <v>30</v>
      </c>
      <c r="I5" s="10">
        <f>VLOOKUP(B5,'[1]Wages Sheet'!$B$8:$J$192,9,FALSE)</f>
        <v>0</v>
      </c>
      <c r="J5" s="10">
        <f>SUM(VLOOKUP(B5,'[1]Wages Sheet'!$B$8:$K$192,10,FALSE)+(VLOOKUP(B5,'[1]Wages Sheet'!$B$8:$L$192,11,FALSE)))</f>
        <v>0</v>
      </c>
      <c r="K5" s="10">
        <f>VLOOKUP(B5,'[1]Wages Sheet'!$B$8:$O$192,14,FALSE)</f>
        <v>0</v>
      </c>
      <c r="L5" s="10">
        <f>VLOOKUP(B5,'[1]Wages Sheet'!$B$8:$Q$192,16,FALSE)</f>
        <v>0</v>
      </c>
      <c r="M5" s="11">
        <f>VLOOKUP(B5,'[1]Wages Sheet'!$B$8:$T$193,19,FALSE)</f>
        <v>16000</v>
      </c>
      <c r="N5" s="11">
        <f>VLOOKUP(B5,'[1]Wages Sheet'!$B$8:$U$192,20,FALSE)</f>
        <v>0</v>
      </c>
      <c r="O5" s="11">
        <f>VLOOKUP(B5,'[1]Wages Sheet'!$B$8:$W$192,22,FALSE)</f>
        <v>0</v>
      </c>
      <c r="P5" s="11">
        <f>VLOOKUP(B5,'[1]Wages Sheet'!$B$8:$Z$192,25,FALSE)</f>
        <v>0</v>
      </c>
      <c r="Q5" s="11">
        <f>VLOOKUP(B5,'[1]Wages Sheet'!$B$8:$AD$192,28,FALSE)</f>
        <v>0</v>
      </c>
      <c r="R5" s="11">
        <f>VLOOKUP(B5,'[1]Wages Sheet'!$B$8:$AD$192,29,FALSE)</f>
        <v>0</v>
      </c>
      <c r="S5" s="11">
        <f>VLOOKUP(B5,'[1]Wages Sheet'!$B$8:$AF$192,31,FALSE)</f>
        <v>0</v>
      </c>
    </row>
    <row r="6" spans="1:19" x14ac:dyDescent="0.3">
      <c r="A6" s="8" t="s">
        <v>13</v>
      </c>
      <c r="B6" s="9" t="s">
        <v>63</v>
      </c>
      <c r="C6" s="9" t="s">
        <v>64</v>
      </c>
      <c r="D6" s="9" t="s">
        <v>62</v>
      </c>
      <c r="E6" s="9" t="s">
        <v>65</v>
      </c>
      <c r="F6" s="10">
        <v>30</v>
      </c>
      <c r="G6" s="10">
        <v>19</v>
      </c>
      <c r="H6" s="10">
        <v>11</v>
      </c>
      <c r="I6" s="10">
        <f>VLOOKUP(B6,'[1]Wages Sheet'!$B$8:$J$192,9,FALSE)</f>
        <v>-3</v>
      </c>
      <c r="J6" s="10">
        <f>SUM(VLOOKUP(B6,'[1]Wages Sheet'!$B$8:$K$192,10,FALSE)+(VLOOKUP(B6,'[1]Wages Sheet'!$B$8:$L$192,11,FALSE)))</f>
        <v>2</v>
      </c>
      <c r="K6" s="10">
        <f>VLOOKUP(B6,'[1]Wages Sheet'!$B$8:$O$192,14,FALSE)</f>
        <v>2</v>
      </c>
      <c r="L6" s="10">
        <f>VLOOKUP(B6,'[1]Wages Sheet'!$B$8:$Q$192,16,FALSE)</f>
        <v>0</v>
      </c>
      <c r="M6" s="11">
        <f>VLOOKUP(B6,'[1]Wages Sheet'!$B$8:$T$193,19,FALSE)</f>
        <v>16000</v>
      </c>
      <c r="N6" s="11">
        <f>VLOOKUP(B6,'[1]Wages Sheet'!$B$8:$U$192,20,FALSE)</f>
        <v>11200</v>
      </c>
      <c r="O6" s="11">
        <f>VLOOKUP(B6,'[1]Wages Sheet'!$B$8:$W$192,22,FALSE)</f>
        <v>5096.9569892473082</v>
      </c>
      <c r="P6" s="11">
        <f>VLOOKUP(B6,'[1]Wages Sheet'!$B$8:$Z$192,25,FALSE)</f>
        <v>0</v>
      </c>
      <c r="Q6" s="11">
        <f>VLOOKUP(B6,'[1]Wages Sheet'!$B$8:$AD$192,28,FALSE)</f>
        <v>6103.0430107526918</v>
      </c>
      <c r="R6" s="11">
        <f>VLOOKUP(B6,'[1]Wages Sheet'!$B$8:$AD$192,29,FALSE)</f>
        <v>6103</v>
      </c>
      <c r="S6" s="11">
        <f>VLOOKUP(B6,'[1]Wages Sheet'!$B$8:$AF$192,31,FALSE)</f>
        <v>4.3010752691770904E-2</v>
      </c>
    </row>
    <row r="7" spans="1:19" x14ac:dyDescent="0.3">
      <c r="A7" s="8" t="s">
        <v>13</v>
      </c>
      <c r="B7" s="9" t="s">
        <v>66</v>
      </c>
      <c r="C7" s="9" t="s">
        <v>54</v>
      </c>
      <c r="D7" s="9" t="s">
        <v>67</v>
      </c>
      <c r="E7" s="9" t="s">
        <v>56</v>
      </c>
      <c r="F7" s="10">
        <v>30</v>
      </c>
      <c r="G7" s="10">
        <v>28</v>
      </c>
      <c r="H7" s="10">
        <v>2</v>
      </c>
      <c r="I7" s="10">
        <f>VLOOKUP(B7,'[1]Wages Sheet'!$B$8:$J$192,9,FALSE)</f>
        <v>-7</v>
      </c>
      <c r="J7" s="10">
        <f>SUM(VLOOKUP(B7,'[1]Wages Sheet'!$B$8:$K$192,10,FALSE)+(VLOOKUP(B7,'[1]Wages Sheet'!$B$8:$L$192,11,FALSE)))</f>
        <v>4</v>
      </c>
      <c r="K7" s="10">
        <f>VLOOKUP(B7,'[1]Wages Sheet'!$B$8:$O$192,14,FALSE)</f>
        <v>2</v>
      </c>
      <c r="L7" s="10">
        <f>VLOOKUP(B7,'[1]Wages Sheet'!$B$8:$Q$192,16,FALSE)</f>
        <v>2</v>
      </c>
      <c r="M7" s="11">
        <f>VLOOKUP(B7,'[1]Wages Sheet'!$B$8:$T$193,19,FALSE)</f>
        <v>17000</v>
      </c>
      <c r="N7" s="11">
        <f>VLOOKUP(B7,'[1]Wages Sheet'!$B$8:$U$192,20,FALSE)</f>
        <v>17000</v>
      </c>
      <c r="O7" s="11">
        <f>VLOOKUP(B7,'[1]Wages Sheet'!$B$8:$W$192,22,FALSE)</f>
        <v>0</v>
      </c>
      <c r="P7" s="11">
        <f>VLOOKUP(B7,'[1]Wages Sheet'!$B$8:$Z$192,25,FALSE)</f>
        <v>0</v>
      </c>
      <c r="Q7" s="11">
        <f>VLOOKUP(B7,'[1]Wages Sheet'!$B$8:$AD$192,28,FALSE)</f>
        <v>17000</v>
      </c>
      <c r="R7" s="11">
        <f>VLOOKUP(B7,'[1]Wages Sheet'!$B$8:$AD$192,29,FALSE)</f>
        <v>17000</v>
      </c>
      <c r="S7" s="11">
        <f>VLOOKUP(B7,'[1]Wages Sheet'!$B$8:$AF$192,31,FALSE)</f>
        <v>0</v>
      </c>
    </row>
    <row r="8" spans="1:19" x14ac:dyDescent="0.3">
      <c r="A8" s="8" t="s">
        <v>13</v>
      </c>
      <c r="B8" s="9" t="s">
        <v>68</v>
      </c>
      <c r="C8" s="9" t="s">
        <v>54</v>
      </c>
      <c r="D8" s="9" t="s">
        <v>69</v>
      </c>
      <c r="E8" s="9" t="s">
        <v>70</v>
      </c>
      <c r="F8" s="10">
        <v>30</v>
      </c>
      <c r="G8" s="10">
        <v>30</v>
      </c>
      <c r="H8" s="10">
        <v>0</v>
      </c>
      <c r="I8" s="10">
        <f>VLOOKUP(B8,'[1]Wages Sheet'!$B$8:$J$192,9,FALSE)</f>
        <v>5</v>
      </c>
      <c r="J8" s="10">
        <f>SUM(VLOOKUP(B8,'[1]Wages Sheet'!$B$8:$K$192,10,FALSE)+(VLOOKUP(B8,'[1]Wages Sheet'!$B$8:$L$192,11,FALSE)))</f>
        <v>4</v>
      </c>
      <c r="K8" s="10">
        <f>VLOOKUP(B8,'[1]Wages Sheet'!$B$8:$O$192,14,FALSE)</f>
        <v>0</v>
      </c>
      <c r="L8" s="10">
        <f>VLOOKUP(B8,'[1]Wages Sheet'!$B$8:$Q$192,16,FALSE)</f>
        <v>9</v>
      </c>
      <c r="M8" s="11">
        <f>VLOOKUP(B8,'[1]Wages Sheet'!$B$8:$T$193,19,FALSE)</f>
        <v>9500</v>
      </c>
      <c r="N8" s="11">
        <f>VLOOKUP(B8,'[1]Wages Sheet'!$B$8:$U$192,20,FALSE)</f>
        <v>9500</v>
      </c>
      <c r="O8" s="11">
        <f>VLOOKUP(B8,'[1]Wages Sheet'!$B$8:$W$192,22,FALSE)</f>
        <v>0</v>
      </c>
      <c r="P8" s="11">
        <f>VLOOKUP(B8,'[1]Wages Sheet'!$B$8:$Z$192,25,FALSE)</f>
        <v>9000.3333333333321</v>
      </c>
      <c r="Q8" s="11">
        <f>VLOOKUP(B8,'[1]Wages Sheet'!$B$8:$AD$192,28,FALSE)</f>
        <v>18500.333333333332</v>
      </c>
      <c r="R8" s="11">
        <f>VLOOKUP(B8,'[1]Wages Sheet'!$B$8:$AD$192,29,FALSE)</f>
        <v>18500</v>
      </c>
      <c r="S8" s="11">
        <f>VLOOKUP(B8,'[1]Wages Sheet'!$B$8:$AF$192,31,FALSE)</f>
        <v>0.33333333333212067</v>
      </c>
    </row>
    <row r="9" spans="1:19" x14ac:dyDescent="0.3">
      <c r="A9" s="8" t="s">
        <v>13</v>
      </c>
      <c r="B9" s="9" t="s">
        <v>71</v>
      </c>
      <c r="C9" s="9" t="s">
        <v>54</v>
      </c>
      <c r="D9" s="9" t="s">
        <v>67</v>
      </c>
      <c r="E9" s="9" t="s">
        <v>56</v>
      </c>
      <c r="F9" s="10">
        <v>30</v>
      </c>
      <c r="G9" s="10">
        <v>24</v>
      </c>
      <c r="H9" s="10">
        <v>6</v>
      </c>
      <c r="I9" s="10">
        <f>VLOOKUP(B9,'[1]Wages Sheet'!$B$8:$J$192,9,FALSE)</f>
        <v>-13</v>
      </c>
      <c r="J9" s="10">
        <f>SUM(VLOOKUP(B9,'[1]Wages Sheet'!$B$8:$K$192,10,FALSE)+(VLOOKUP(B9,'[1]Wages Sheet'!$B$8:$L$192,11,FALSE)))</f>
        <v>6</v>
      </c>
      <c r="K9" s="10">
        <f>VLOOKUP(B9,'[1]Wages Sheet'!$B$8:$O$192,14,FALSE)</f>
        <v>6</v>
      </c>
      <c r="L9" s="10">
        <f>VLOOKUP(B9,'[1]Wages Sheet'!$B$8:$Q$192,16,FALSE)</f>
        <v>0</v>
      </c>
      <c r="M9" s="11">
        <f>VLOOKUP(B9,'[1]Wages Sheet'!$B$8:$T$193,19,FALSE)</f>
        <v>18000</v>
      </c>
      <c r="N9" s="11">
        <f>VLOOKUP(B9,'[1]Wages Sheet'!$B$8:$U$192,20,FALSE)</f>
        <v>18000</v>
      </c>
      <c r="O9" s="11">
        <f>VLOOKUP(B9,'[1]Wages Sheet'!$B$8:$W$192,22,FALSE)</f>
        <v>0</v>
      </c>
      <c r="P9" s="11">
        <f>VLOOKUP(B9,'[1]Wages Sheet'!$B$8:$Z$192,25,FALSE)</f>
        <v>0</v>
      </c>
      <c r="Q9" s="11">
        <f>VLOOKUP(B9,'[1]Wages Sheet'!$B$8:$AD$192,28,FALSE)</f>
        <v>18000</v>
      </c>
      <c r="R9" s="11">
        <f>VLOOKUP(B9,'[1]Wages Sheet'!$B$8:$AD$192,29,FALSE)</f>
        <v>18000</v>
      </c>
      <c r="S9" s="11">
        <f>VLOOKUP(B9,'[1]Wages Sheet'!$B$8:$AF$192,31,FALSE)</f>
        <v>0</v>
      </c>
    </row>
    <row r="10" spans="1:19" x14ac:dyDescent="0.3">
      <c r="A10" s="8" t="s">
        <v>13</v>
      </c>
      <c r="B10" s="9" t="s">
        <v>72</v>
      </c>
      <c r="C10" s="9" t="s">
        <v>54</v>
      </c>
      <c r="D10" s="9" t="s">
        <v>58</v>
      </c>
      <c r="E10" s="9"/>
      <c r="F10" s="10">
        <v>30</v>
      </c>
      <c r="G10" s="10">
        <v>0</v>
      </c>
      <c r="H10" s="10">
        <v>30</v>
      </c>
      <c r="I10" s="10">
        <f>VLOOKUP(B10,'[1]Wages Sheet'!$B$8:$J$192,9,FALSE)</f>
        <v>0</v>
      </c>
      <c r="J10" s="10">
        <f>SUM(VLOOKUP(B10,'[1]Wages Sheet'!$B$8:$K$192,10,FALSE)+(VLOOKUP(B10,'[1]Wages Sheet'!$B$8:$L$192,11,FALSE)))</f>
        <v>0</v>
      </c>
      <c r="K10" s="10">
        <f>VLOOKUP(B10,'[1]Wages Sheet'!$B$8:$O$192,14,FALSE)</f>
        <v>0</v>
      </c>
      <c r="L10" s="10">
        <f>VLOOKUP(B10,'[1]Wages Sheet'!$B$8:$Q$192,16,FALSE)</f>
        <v>0</v>
      </c>
      <c r="M10" s="11">
        <f>VLOOKUP(B10,'[1]Wages Sheet'!$B$8:$T$193,19,FALSE)</f>
        <v>8500</v>
      </c>
      <c r="N10" s="11">
        <f>VLOOKUP(B10,'[1]Wages Sheet'!$B$8:$U$192,20,FALSE)</f>
        <v>0</v>
      </c>
      <c r="O10" s="11">
        <f>VLOOKUP(B10,'[1]Wages Sheet'!$B$8:$W$192,22,FALSE)</f>
        <v>0</v>
      </c>
      <c r="P10" s="11">
        <f>VLOOKUP(B10,'[1]Wages Sheet'!$B$8:$Z$192,25,FALSE)</f>
        <v>0</v>
      </c>
      <c r="Q10" s="11">
        <f>VLOOKUP(B10,'[1]Wages Sheet'!$B$8:$AD$192,28,FALSE)</f>
        <v>0</v>
      </c>
      <c r="R10" s="11">
        <f>VLOOKUP(B10,'[1]Wages Sheet'!$B$8:$AD$192,29,FALSE)</f>
        <v>0</v>
      </c>
      <c r="S10" s="11">
        <f>VLOOKUP(B10,'[1]Wages Sheet'!$B$8:$AF$192,31,FALSE)</f>
        <v>0</v>
      </c>
    </row>
    <row r="11" spans="1:19" x14ac:dyDescent="0.3">
      <c r="A11" s="8" t="s">
        <v>13</v>
      </c>
      <c r="B11" s="9" t="s">
        <v>73</v>
      </c>
      <c r="C11" s="9" t="s">
        <v>54</v>
      </c>
      <c r="D11" s="9" t="s">
        <v>58</v>
      </c>
      <c r="E11" s="9"/>
      <c r="F11" s="10">
        <v>30</v>
      </c>
      <c r="G11" s="10">
        <v>0</v>
      </c>
      <c r="H11" s="10">
        <v>30</v>
      </c>
      <c r="I11" s="10">
        <f>VLOOKUP(B11,'[1]Wages Sheet'!$B$8:$J$192,9,FALSE)</f>
        <v>0</v>
      </c>
      <c r="J11" s="10">
        <f>SUM(VLOOKUP(B11,'[1]Wages Sheet'!$B$8:$K$192,10,FALSE)+(VLOOKUP(B11,'[1]Wages Sheet'!$B$8:$L$192,11,FALSE)))</f>
        <v>0</v>
      </c>
      <c r="K11" s="10">
        <f>VLOOKUP(B11,'[1]Wages Sheet'!$B$8:$O$192,14,FALSE)</f>
        <v>0</v>
      </c>
      <c r="L11" s="10">
        <f>VLOOKUP(B11,'[1]Wages Sheet'!$B$8:$Q$192,16,FALSE)</f>
        <v>0</v>
      </c>
      <c r="M11" s="11">
        <f>VLOOKUP(B11,'[1]Wages Sheet'!$B$8:$T$193,19,FALSE)</f>
        <v>9500</v>
      </c>
      <c r="N11" s="11">
        <f>VLOOKUP(B11,'[1]Wages Sheet'!$B$8:$U$192,20,FALSE)</f>
        <v>0</v>
      </c>
      <c r="O11" s="11">
        <f>VLOOKUP(B11,'[1]Wages Sheet'!$B$8:$W$192,22,FALSE)</f>
        <v>0</v>
      </c>
      <c r="P11" s="11">
        <f>VLOOKUP(B11,'[1]Wages Sheet'!$B$8:$Z$192,25,FALSE)</f>
        <v>7528.8172043010754</v>
      </c>
      <c r="Q11" s="11">
        <f>VLOOKUP(B11,'[1]Wages Sheet'!$B$8:$AD$192,28,FALSE)</f>
        <v>7528.8172043010754</v>
      </c>
      <c r="R11" s="11">
        <f>VLOOKUP(B11,'[1]Wages Sheet'!$B$8:$AD$192,29,FALSE)</f>
        <v>0</v>
      </c>
      <c r="S11" s="11">
        <f>VLOOKUP(B11,'[1]Wages Sheet'!$B$8:$AF$192,31,FALSE)</f>
        <v>7528.8172043010754</v>
      </c>
    </row>
    <row r="12" spans="1:19" x14ac:dyDescent="0.3">
      <c r="A12" s="8" t="s">
        <v>13</v>
      </c>
      <c r="B12" s="9" t="s">
        <v>74</v>
      </c>
      <c r="C12" s="9" t="s">
        <v>54</v>
      </c>
      <c r="D12" s="9" t="s">
        <v>55</v>
      </c>
      <c r="E12" s="9"/>
      <c r="F12" s="10">
        <v>30</v>
      </c>
      <c r="G12" s="10">
        <v>0</v>
      </c>
      <c r="H12" s="10">
        <v>30</v>
      </c>
      <c r="I12" s="10">
        <f>VLOOKUP(B12,'[1]Wages Sheet'!$B$8:$J$192,9,FALSE)</f>
        <v>0</v>
      </c>
      <c r="J12" s="10">
        <f>SUM(VLOOKUP(B12,'[1]Wages Sheet'!$B$8:$K$192,10,FALSE)+(VLOOKUP(B12,'[1]Wages Sheet'!$B$8:$L$192,11,FALSE)))</f>
        <v>0</v>
      </c>
      <c r="K12" s="10">
        <f>VLOOKUP(B12,'[1]Wages Sheet'!$B$8:$O$192,14,FALSE)</f>
        <v>0</v>
      </c>
      <c r="L12" s="10">
        <f>VLOOKUP(B12,'[1]Wages Sheet'!$B$8:$Q$192,16,FALSE)</f>
        <v>0</v>
      </c>
      <c r="M12" s="11">
        <f>VLOOKUP(B12,'[1]Wages Sheet'!$B$8:$T$193,19,FALSE)</f>
        <v>10000</v>
      </c>
      <c r="N12" s="11">
        <f>VLOOKUP(B12,'[1]Wages Sheet'!$B$8:$U$192,20,FALSE)</f>
        <v>0</v>
      </c>
      <c r="O12" s="11">
        <f>VLOOKUP(B12,'[1]Wages Sheet'!$B$8:$W$192,22,FALSE)</f>
        <v>0</v>
      </c>
      <c r="P12" s="11">
        <f>VLOOKUP(B12,'[1]Wages Sheet'!$B$8:$Z$192,25,FALSE)</f>
        <v>0</v>
      </c>
      <c r="Q12" s="11">
        <f>VLOOKUP(B12,'[1]Wages Sheet'!$B$8:$AD$192,28,FALSE)</f>
        <v>0</v>
      </c>
      <c r="R12" s="11">
        <f>VLOOKUP(B12,'[1]Wages Sheet'!$B$8:$AD$192,29,FALSE)</f>
        <v>0</v>
      </c>
      <c r="S12" s="11">
        <f>VLOOKUP(B12,'[1]Wages Sheet'!$B$8:$AF$192,31,FALSE)</f>
        <v>0</v>
      </c>
    </row>
    <row r="13" spans="1:19" x14ac:dyDescent="0.3">
      <c r="A13" s="8" t="s">
        <v>13</v>
      </c>
      <c r="B13" s="9" t="s">
        <v>75</v>
      </c>
      <c r="C13" s="9" t="s">
        <v>54</v>
      </c>
      <c r="D13" s="9" t="s">
        <v>58</v>
      </c>
      <c r="E13" s="9"/>
      <c r="F13" s="10">
        <v>30</v>
      </c>
      <c r="G13" s="10">
        <v>0</v>
      </c>
      <c r="H13" s="10">
        <v>30</v>
      </c>
      <c r="I13" s="10">
        <f>VLOOKUP(B13,'[1]Wages Sheet'!$B$8:$J$192,9,FALSE)</f>
        <v>0</v>
      </c>
      <c r="J13" s="10">
        <f>SUM(VLOOKUP(B13,'[1]Wages Sheet'!$B$8:$K$192,10,FALSE)+(VLOOKUP(B13,'[1]Wages Sheet'!$B$8:$L$192,11,FALSE)))</f>
        <v>0</v>
      </c>
      <c r="K13" s="10">
        <f>VLOOKUP(B13,'[1]Wages Sheet'!$B$8:$O$192,14,FALSE)</f>
        <v>0</v>
      </c>
      <c r="L13" s="10">
        <f>VLOOKUP(B13,'[1]Wages Sheet'!$B$8:$Q$192,16,FALSE)</f>
        <v>0</v>
      </c>
      <c r="M13" s="11">
        <f>VLOOKUP(B13,'[1]Wages Sheet'!$B$8:$T$193,19,FALSE)</f>
        <v>9500</v>
      </c>
      <c r="N13" s="11">
        <f>VLOOKUP(B13,'[1]Wages Sheet'!$B$8:$U$192,20,FALSE)</f>
        <v>0</v>
      </c>
      <c r="O13" s="11">
        <f>VLOOKUP(B13,'[1]Wages Sheet'!$B$8:$W$192,22,FALSE)</f>
        <v>0</v>
      </c>
      <c r="P13" s="11">
        <f>VLOOKUP(B13,'[1]Wages Sheet'!$B$8:$Z$192,25,FALSE)</f>
        <v>0</v>
      </c>
      <c r="Q13" s="11">
        <f>VLOOKUP(B13,'[1]Wages Sheet'!$B$8:$AD$192,28,FALSE)</f>
        <v>0</v>
      </c>
      <c r="R13" s="11">
        <f>VLOOKUP(B13,'[1]Wages Sheet'!$B$8:$AD$192,29,FALSE)</f>
        <v>0</v>
      </c>
      <c r="S13" s="11">
        <f>VLOOKUP(B13,'[1]Wages Sheet'!$B$8:$AF$192,31,FALSE)</f>
        <v>0</v>
      </c>
    </row>
    <row r="14" spans="1:19" x14ac:dyDescent="0.3">
      <c r="A14" s="8" t="s">
        <v>13</v>
      </c>
      <c r="B14" s="9" t="s">
        <v>76</v>
      </c>
      <c r="C14" s="9" t="s">
        <v>54</v>
      </c>
      <c r="D14" s="9" t="s">
        <v>62</v>
      </c>
      <c r="E14" s="9" t="s">
        <v>77</v>
      </c>
      <c r="F14" s="10">
        <v>30</v>
      </c>
      <c r="G14" s="10">
        <v>22</v>
      </c>
      <c r="H14" s="10">
        <v>8</v>
      </c>
      <c r="I14" s="10">
        <f>VLOOKUP(B14,'[1]Wages Sheet'!$B$8:$J$192,9,FALSE)</f>
        <v>-3</v>
      </c>
      <c r="J14" s="10">
        <f>SUM(VLOOKUP(B14,'[1]Wages Sheet'!$B$8:$K$192,10,FALSE)+(VLOOKUP(B14,'[1]Wages Sheet'!$B$8:$L$192,11,FALSE)))</f>
        <v>8</v>
      </c>
      <c r="K14" s="10">
        <f>VLOOKUP(B14,'[1]Wages Sheet'!$B$8:$O$192,14,FALSE)</f>
        <v>8</v>
      </c>
      <c r="L14" s="10">
        <f>VLOOKUP(B14,'[1]Wages Sheet'!$B$8:$Q$192,16,FALSE)</f>
        <v>0</v>
      </c>
      <c r="M14" s="11">
        <f>VLOOKUP(B14,'[1]Wages Sheet'!$B$8:$T$193,19,FALSE)</f>
        <v>16000</v>
      </c>
      <c r="N14" s="11">
        <f>VLOOKUP(B14,'[1]Wages Sheet'!$B$8:$U$192,20,FALSE)</f>
        <v>16000.000000000002</v>
      </c>
      <c r="O14" s="11">
        <f>VLOOKUP(B14,'[1]Wages Sheet'!$B$8:$W$192,22,FALSE)</f>
        <v>1109.8172043010763</v>
      </c>
      <c r="P14" s="11">
        <f>VLOOKUP(B14,'[1]Wages Sheet'!$B$8:$Z$192,25,FALSE)</f>
        <v>0</v>
      </c>
      <c r="Q14" s="11">
        <f>VLOOKUP(B14,'[1]Wages Sheet'!$B$8:$AD$192,28,FALSE)</f>
        <v>14890.182795698925</v>
      </c>
      <c r="R14" s="11">
        <f>VLOOKUP(B14,'[1]Wages Sheet'!$B$8:$AD$192,29,FALSE)</f>
        <v>14890</v>
      </c>
      <c r="S14" s="11">
        <f>VLOOKUP(B14,'[1]Wages Sheet'!$B$8:$AF$192,31,FALSE)</f>
        <v>0.18279569892547443</v>
      </c>
    </row>
    <row r="15" spans="1:19" x14ac:dyDescent="0.3">
      <c r="A15" s="8" t="s">
        <v>13</v>
      </c>
      <c r="B15" s="9" t="s">
        <v>78</v>
      </c>
      <c r="C15" s="9" t="s">
        <v>64</v>
      </c>
      <c r="D15" s="9" t="s">
        <v>79</v>
      </c>
      <c r="E15" s="9" t="s">
        <v>80</v>
      </c>
      <c r="F15" s="10">
        <v>30</v>
      </c>
      <c r="G15" s="10">
        <v>29</v>
      </c>
      <c r="H15" s="10">
        <v>1</v>
      </c>
      <c r="I15" s="10">
        <f>VLOOKUP(B15,'[1]Wages Sheet'!$B$8:$J$192,9,FALSE)</f>
        <v>-4</v>
      </c>
      <c r="J15" s="10">
        <f>SUM(VLOOKUP(B15,'[1]Wages Sheet'!$B$8:$K$192,10,FALSE)+(VLOOKUP(B15,'[1]Wages Sheet'!$B$8:$L$192,11,FALSE)))</f>
        <v>4</v>
      </c>
      <c r="K15" s="10">
        <f>VLOOKUP(B15,'[1]Wages Sheet'!$B$8:$O$192,14,FALSE)</f>
        <v>1</v>
      </c>
      <c r="L15" s="10">
        <f>VLOOKUP(B15,'[1]Wages Sheet'!$B$8:$Q$192,16,FALSE)</f>
        <v>3</v>
      </c>
      <c r="M15" s="11">
        <f>VLOOKUP(B15,'[1]Wages Sheet'!$B$8:$T$193,19,FALSE)</f>
        <v>17000</v>
      </c>
      <c r="N15" s="11">
        <f>VLOOKUP(B15,'[1]Wages Sheet'!$B$8:$U$192,20,FALSE)</f>
        <v>17000</v>
      </c>
      <c r="O15" s="11">
        <f>VLOOKUP(B15,'[1]Wages Sheet'!$B$8:$W$192,22,FALSE)</f>
        <v>0</v>
      </c>
      <c r="P15" s="11">
        <f>VLOOKUP(B15,'[1]Wages Sheet'!$B$8:$Z$192,25,FALSE)</f>
        <v>5806.4516129032272</v>
      </c>
      <c r="Q15" s="11">
        <f>VLOOKUP(B15,'[1]Wages Sheet'!$B$8:$AD$192,28,FALSE)</f>
        <v>22806.451612903227</v>
      </c>
      <c r="R15" s="11">
        <f>VLOOKUP(B15,'[1]Wages Sheet'!$B$8:$AD$192,29,FALSE)</f>
        <v>23306</v>
      </c>
      <c r="S15" s="11">
        <f>VLOOKUP(B15,'[1]Wages Sheet'!$B$8:$AF$192,31,FALSE)</f>
        <v>-499.54838709677279</v>
      </c>
    </row>
    <row r="16" spans="1:19" x14ac:dyDescent="0.3">
      <c r="A16" s="8" t="s">
        <v>13</v>
      </c>
      <c r="B16" s="9" t="s">
        <v>81</v>
      </c>
      <c r="C16" s="9" t="s">
        <v>64</v>
      </c>
      <c r="D16" s="9" t="s">
        <v>82</v>
      </c>
      <c r="E16" s="9" t="s">
        <v>56</v>
      </c>
      <c r="F16" s="10">
        <v>30</v>
      </c>
      <c r="G16" s="10">
        <v>29</v>
      </c>
      <c r="H16" s="10">
        <v>1</v>
      </c>
      <c r="I16" s="10">
        <f>VLOOKUP(B16,'[1]Wages Sheet'!$B$8:$J$192,9,FALSE)</f>
        <v>8</v>
      </c>
      <c r="J16" s="10">
        <f>SUM(VLOOKUP(B16,'[1]Wages Sheet'!$B$8:$K$192,10,FALSE)+(VLOOKUP(B16,'[1]Wages Sheet'!$B$8:$L$192,11,FALSE)))</f>
        <v>4</v>
      </c>
      <c r="K16" s="10">
        <f>VLOOKUP(B16,'[1]Wages Sheet'!$B$8:$O$192,14,FALSE)</f>
        <v>1</v>
      </c>
      <c r="L16" s="10">
        <f>VLOOKUP(B16,'[1]Wages Sheet'!$B$8:$Q$192,16,FALSE)</f>
        <v>11</v>
      </c>
      <c r="M16" s="11">
        <f>VLOOKUP(B16,'[1]Wages Sheet'!$B$8:$T$193,19,FALSE)</f>
        <v>21000</v>
      </c>
      <c r="N16" s="11">
        <f>VLOOKUP(B16,'[1]Wages Sheet'!$B$8:$U$192,20,FALSE)</f>
        <v>21000</v>
      </c>
      <c r="O16" s="11">
        <f>VLOOKUP(B16,'[1]Wages Sheet'!$B$8:$W$192,22,FALSE)</f>
        <v>0</v>
      </c>
      <c r="P16" s="11">
        <f>VLOOKUP(B16,'[1]Wages Sheet'!$B$8:$Z$192,25,FALSE)</f>
        <v>0</v>
      </c>
      <c r="Q16" s="11">
        <f>VLOOKUP(B16,'[1]Wages Sheet'!$B$8:$AD$192,28,FALSE)</f>
        <v>21000</v>
      </c>
      <c r="R16" s="11">
        <f>VLOOKUP(B16,'[1]Wages Sheet'!$B$8:$AD$192,29,FALSE)</f>
        <v>21000</v>
      </c>
      <c r="S16" s="11">
        <f>VLOOKUP(B16,'[1]Wages Sheet'!$B$8:$AF$192,31,FALSE)</f>
        <v>0</v>
      </c>
    </row>
    <row r="17" spans="1:19" x14ac:dyDescent="0.3">
      <c r="A17" s="8" t="s">
        <v>13</v>
      </c>
      <c r="B17" s="9" t="s">
        <v>83</v>
      </c>
      <c r="C17" s="9" t="s">
        <v>64</v>
      </c>
      <c r="D17" s="9" t="s">
        <v>62</v>
      </c>
      <c r="E17" s="9" t="s">
        <v>84</v>
      </c>
      <c r="F17" s="10">
        <v>30</v>
      </c>
      <c r="G17" s="10">
        <v>28</v>
      </c>
      <c r="H17" s="10">
        <v>2</v>
      </c>
      <c r="I17" s="10">
        <f>VLOOKUP(B17,'[1]Wages Sheet'!$B$8:$J$192,9,FALSE)</f>
        <v>3</v>
      </c>
      <c r="J17" s="10">
        <f>SUM(VLOOKUP(B17,'[1]Wages Sheet'!$B$8:$K$192,10,FALSE)+(VLOOKUP(B17,'[1]Wages Sheet'!$B$8:$L$192,11,FALSE)))</f>
        <v>4</v>
      </c>
      <c r="K17" s="10">
        <f>VLOOKUP(B17,'[1]Wages Sheet'!$B$8:$O$192,14,FALSE)</f>
        <v>2</v>
      </c>
      <c r="L17" s="10">
        <f>VLOOKUP(B17,'[1]Wages Sheet'!$B$8:$Q$192,16,FALSE)</f>
        <v>5</v>
      </c>
      <c r="M17" s="11">
        <f>VLOOKUP(B17,'[1]Wages Sheet'!$B$8:$T$193,19,FALSE)</f>
        <v>16000</v>
      </c>
      <c r="N17" s="11">
        <f>VLOOKUP(B17,'[1]Wages Sheet'!$B$8:$U$192,20,FALSE)</f>
        <v>16000.000000000002</v>
      </c>
      <c r="O17" s="11">
        <f>VLOOKUP(B17,'[1]Wages Sheet'!$B$8:$W$192,22,FALSE)</f>
        <v>0</v>
      </c>
      <c r="P17" s="11">
        <f>VLOOKUP(B17,'[1]Wages Sheet'!$B$8:$Z$192,25,FALSE)</f>
        <v>16000</v>
      </c>
      <c r="Q17" s="11">
        <f>VLOOKUP(B17,'[1]Wages Sheet'!$B$8:$AD$192,28,FALSE)</f>
        <v>32000</v>
      </c>
      <c r="R17" s="11">
        <f>VLOOKUP(B17,'[1]Wages Sheet'!$B$8:$AD$192,29,FALSE)</f>
        <v>32000</v>
      </c>
      <c r="S17" s="11">
        <f>VLOOKUP(B17,'[1]Wages Sheet'!$B$8:$AF$192,31,FALSE)</f>
        <v>0</v>
      </c>
    </row>
    <row r="18" spans="1:19" x14ac:dyDescent="0.3">
      <c r="A18" s="8" t="s">
        <v>13</v>
      </c>
      <c r="B18" s="9" t="s">
        <v>85</v>
      </c>
      <c r="C18" s="9" t="s">
        <v>54</v>
      </c>
      <c r="D18" s="9" t="s">
        <v>55</v>
      </c>
      <c r="E18" s="9"/>
      <c r="F18" s="10">
        <v>30</v>
      </c>
      <c r="G18" s="10">
        <v>0</v>
      </c>
      <c r="H18" s="10">
        <v>30</v>
      </c>
      <c r="I18" s="10">
        <f>VLOOKUP(B18,'[1]Wages Sheet'!$B$8:$J$192,9,FALSE)</f>
        <v>0</v>
      </c>
      <c r="J18" s="10">
        <f>SUM(VLOOKUP(B18,'[1]Wages Sheet'!$B$8:$K$192,10,FALSE)+(VLOOKUP(B18,'[1]Wages Sheet'!$B$8:$L$192,11,FALSE)))</f>
        <v>0</v>
      </c>
      <c r="K18" s="10">
        <f>VLOOKUP(B18,'[1]Wages Sheet'!$B$8:$O$192,14,FALSE)</f>
        <v>0</v>
      </c>
      <c r="L18" s="10">
        <f>VLOOKUP(B18,'[1]Wages Sheet'!$B$8:$Q$192,16,FALSE)</f>
        <v>0</v>
      </c>
      <c r="M18" s="11">
        <f>VLOOKUP(B18,'[1]Wages Sheet'!$B$8:$T$193,19,FALSE)</f>
        <v>9000</v>
      </c>
      <c r="N18" s="11">
        <f>VLOOKUP(B18,'[1]Wages Sheet'!$B$8:$U$192,20,FALSE)</f>
        <v>0</v>
      </c>
      <c r="O18" s="11">
        <f>VLOOKUP(B18,'[1]Wages Sheet'!$B$8:$W$192,22,FALSE)</f>
        <v>0</v>
      </c>
      <c r="P18" s="11">
        <f>VLOOKUP(B18,'[1]Wages Sheet'!$B$8:$Z$192,25,FALSE)</f>
        <v>0</v>
      </c>
      <c r="Q18" s="11">
        <f>VLOOKUP(B18,'[1]Wages Sheet'!$B$8:$AD$192,28,FALSE)</f>
        <v>0</v>
      </c>
      <c r="R18" s="11">
        <f>VLOOKUP(B18,'[1]Wages Sheet'!$B$8:$AD$192,29,FALSE)</f>
        <v>0</v>
      </c>
      <c r="S18" s="11">
        <f>VLOOKUP(B18,'[1]Wages Sheet'!$B$8:$AF$192,31,FALSE)</f>
        <v>0</v>
      </c>
    </row>
    <row r="19" spans="1:19" x14ac:dyDescent="0.3">
      <c r="A19" s="8" t="s">
        <v>13</v>
      </c>
      <c r="B19" s="9" t="s">
        <v>86</v>
      </c>
      <c r="C19" s="9" t="s">
        <v>54</v>
      </c>
      <c r="D19" s="9" t="s">
        <v>58</v>
      </c>
      <c r="E19" s="9"/>
      <c r="F19" s="10">
        <v>30</v>
      </c>
      <c r="G19" s="10">
        <v>0</v>
      </c>
      <c r="H19" s="10">
        <v>30</v>
      </c>
      <c r="I19" s="10">
        <f>VLOOKUP(B19,'[1]Wages Sheet'!$B$8:$J$192,9,FALSE)</f>
        <v>0</v>
      </c>
      <c r="J19" s="10">
        <f>SUM(VLOOKUP(B19,'[1]Wages Sheet'!$B$8:$K$192,10,FALSE)+(VLOOKUP(B19,'[1]Wages Sheet'!$B$8:$L$192,11,FALSE)))</f>
        <v>0</v>
      </c>
      <c r="K19" s="10">
        <f>VLOOKUP(B19,'[1]Wages Sheet'!$B$8:$O$192,14,FALSE)</f>
        <v>0</v>
      </c>
      <c r="L19" s="10">
        <f>VLOOKUP(B19,'[1]Wages Sheet'!$B$8:$Q$192,16,FALSE)</f>
        <v>0</v>
      </c>
      <c r="M19" s="11">
        <f>VLOOKUP(B19,'[1]Wages Sheet'!$B$8:$T$193,19,FALSE)</f>
        <v>9500</v>
      </c>
      <c r="N19" s="11">
        <f>VLOOKUP(B19,'[1]Wages Sheet'!$B$8:$U$192,20,FALSE)</f>
        <v>0</v>
      </c>
      <c r="O19" s="11">
        <f>VLOOKUP(B19,'[1]Wages Sheet'!$B$8:$W$192,22,FALSE)</f>
        <v>0</v>
      </c>
      <c r="P19" s="11">
        <f>VLOOKUP(B19,'[1]Wages Sheet'!$B$8:$Z$192,25,FALSE)</f>
        <v>0</v>
      </c>
      <c r="Q19" s="11">
        <f>VLOOKUP(B19,'[1]Wages Sheet'!$B$8:$AD$192,28,FALSE)</f>
        <v>0</v>
      </c>
      <c r="R19" s="11">
        <f>VLOOKUP(B19,'[1]Wages Sheet'!$B$8:$AD$192,29,FALSE)</f>
        <v>0</v>
      </c>
      <c r="S19" s="11">
        <f>VLOOKUP(B19,'[1]Wages Sheet'!$B$8:$AF$192,31,FALSE)</f>
        <v>0</v>
      </c>
    </row>
    <row r="20" spans="1:19" x14ac:dyDescent="0.3">
      <c r="A20" s="8" t="s">
        <v>13</v>
      </c>
      <c r="B20" s="9" t="s">
        <v>87</v>
      </c>
      <c r="C20" s="9" t="s">
        <v>54</v>
      </c>
      <c r="D20" s="9" t="s">
        <v>88</v>
      </c>
      <c r="E20" s="9" t="s">
        <v>89</v>
      </c>
      <c r="F20" s="10">
        <v>30</v>
      </c>
      <c r="G20" s="10">
        <v>30</v>
      </c>
      <c r="H20" s="10">
        <v>0</v>
      </c>
      <c r="I20" s="10">
        <f>VLOOKUP(B20,'[1]Wages Sheet'!$B$8:$J$192,9,FALSE)</f>
        <v>9</v>
      </c>
      <c r="J20" s="10">
        <f>SUM(VLOOKUP(B20,'[1]Wages Sheet'!$B$8:$K$192,10,FALSE)+(VLOOKUP(B20,'[1]Wages Sheet'!$B$8:$L$192,11,FALSE)))</f>
        <v>4</v>
      </c>
      <c r="K20" s="10">
        <f>VLOOKUP(B20,'[1]Wages Sheet'!$B$8:$O$192,14,FALSE)</f>
        <v>0</v>
      </c>
      <c r="L20" s="10">
        <f>VLOOKUP(B20,'[1]Wages Sheet'!$B$8:$Q$192,16,FALSE)</f>
        <v>13</v>
      </c>
      <c r="M20" s="11">
        <f>VLOOKUP(B20,'[1]Wages Sheet'!$B$8:$T$193,19,FALSE)</f>
        <v>11000</v>
      </c>
      <c r="N20" s="11">
        <f>VLOOKUP(B20,'[1]Wages Sheet'!$B$8:$U$192,20,FALSE)</f>
        <v>11000</v>
      </c>
      <c r="O20" s="11">
        <f>VLOOKUP(B20,'[1]Wages Sheet'!$B$8:$W$192,22,FALSE)</f>
        <v>0</v>
      </c>
      <c r="P20" s="11">
        <f>VLOOKUP(B20,'[1]Wages Sheet'!$B$8:$Z$192,25,FALSE)</f>
        <v>5988.709677419356</v>
      </c>
      <c r="Q20" s="11">
        <f>VLOOKUP(B20,'[1]Wages Sheet'!$B$8:$AD$192,28,FALSE)</f>
        <v>16988.709677419356</v>
      </c>
      <c r="R20" s="11">
        <f>VLOOKUP(B20,'[1]Wages Sheet'!$B$8:$AD$192,29,FALSE)</f>
        <v>17000</v>
      </c>
      <c r="S20" s="11">
        <f>VLOOKUP(B20,'[1]Wages Sheet'!$B$8:$AF$192,31,FALSE)</f>
        <v>-11.290322580643988</v>
      </c>
    </row>
    <row r="21" spans="1:19" x14ac:dyDescent="0.3">
      <c r="A21" s="8" t="s">
        <v>13</v>
      </c>
      <c r="B21" s="9" t="s">
        <v>90</v>
      </c>
      <c r="C21" s="9" t="s">
        <v>54</v>
      </c>
      <c r="D21" s="9" t="s">
        <v>62</v>
      </c>
      <c r="E21" s="9"/>
      <c r="F21" s="10">
        <v>30</v>
      </c>
      <c r="G21" s="10">
        <v>0</v>
      </c>
      <c r="H21" s="10">
        <v>30</v>
      </c>
      <c r="I21" s="10">
        <f>VLOOKUP(B21,'[1]Wages Sheet'!$B$8:$J$192,9,FALSE)</f>
        <v>0</v>
      </c>
      <c r="J21" s="10">
        <f>SUM(VLOOKUP(B21,'[1]Wages Sheet'!$B$8:$K$192,10,FALSE)+(VLOOKUP(B21,'[1]Wages Sheet'!$B$8:$L$192,11,FALSE)))</f>
        <v>0</v>
      </c>
      <c r="K21" s="10">
        <f>VLOOKUP(B21,'[1]Wages Sheet'!$B$8:$O$192,14,FALSE)</f>
        <v>0</v>
      </c>
      <c r="L21" s="10">
        <f>VLOOKUP(B21,'[1]Wages Sheet'!$B$8:$Q$192,16,FALSE)</f>
        <v>0</v>
      </c>
      <c r="M21" s="11">
        <f>VLOOKUP(B21,'[1]Wages Sheet'!$B$8:$T$193,19,FALSE)</f>
        <v>15500</v>
      </c>
      <c r="N21" s="11">
        <f>VLOOKUP(B21,'[1]Wages Sheet'!$B$8:$U$192,20,FALSE)</f>
        <v>0</v>
      </c>
      <c r="O21" s="11">
        <f>VLOOKUP(B21,'[1]Wages Sheet'!$B$8:$W$192,22,FALSE)</f>
        <v>0</v>
      </c>
      <c r="P21" s="11">
        <f>VLOOKUP(B21,'[1]Wages Sheet'!$B$8:$Z$192,25,FALSE)</f>
        <v>0</v>
      </c>
      <c r="Q21" s="11">
        <f>VLOOKUP(B21,'[1]Wages Sheet'!$B$8:$AD$192,28,FALSE)</f>
        <v>0</v>
      </c>
      <c r="R21" s="11">
        <f>VLOOKUP(B21,'[1]Wages Sheet'!$B$8:$AD$192,29,FALSE)</f>
        <v>0</v>
      </c>
      <c r="S21" s="11">
        <f>VLOOKUP(B21,'[1]Wages Sheet'!$B$8:$AF$192,31,FALSE)</f>
        <v>0</v>
      </c>
    </row>
    <row r="22" spans="1:19" x14ac:dyDescent="0.3">
      <c r="A22" s="8" t="s">
        <v>13</v>
      </c>
      <c r="B22" s="9" t="s">
        <v>91</v>
      </c>
      <c r="C22" s="9" t="s">
        <v>64</v>
      </c>
      <c r="D22" s="9" t="s">
        <v>62</v>
      </c>
      <c r="E22" s="9" t="s">
        <v>92</v>
      </c>
      <c r="F22" s="10">
        <v>30</v>
      </c>
      <c r="G22" s="10">
        <v>30</v>
      </c>
      <c r="H22" s="10">
        <v>0</v>
      </c>
      <c r="I22" s="10">
        <f>VLOOKUP(B22,'[1]Wages Sheet'!$B$8:$J$192,9,FALSE)</f>
        <v>1</v>
      </c>
      <c r="J22" s="10">
        <f>SUM(VLOOKUP(B22,'[1]Wages Sheet'!$B$8:$K$192,10,FALSE)+(VLOOKUP(B22,'[1]Wages Sheet'!$B$8:$L$192,11,FALSE)))</f>
        <v>4</v>
      </c>
      <c r="K22" s="10">
        <f>VLOOKUP(B22,'[1]Wages Sheet'!$B$8:$O$192,14,FALSE)</f>
        <v>0</v>
      </c>
      <c r="L22" s="10">
        <f>VLOOKUP(B22,'[1]Wages Sheet'!$B$8:$Q$192,16,FALSE)</f>
        <v>5</v>
      </c>
      <c r="M22" s="11">
        <f>VLOOKUP(B22,'[1]Wages Sheet'!$B$8:$T$193,19,FALSE)</f>
        <v>16000</v>
      </c>
      <c r="N22" s="11">
        <f>VLOOKUP(B22,'[1]Wages Sheet'!$B$8:$U$192,20,FALSE)</f>
        <v>16000.000000000002</v>
      </c>
      <c r="O22" s="11">
        <f>VLOOKUP(B22,'[1]Wages Sheet'!$B$8:$W$192,22,FALSE)</f>
        <v>0</v>
      </c>
      <c r="P22" s="11">
        <f>VLOOKUP(B22,'[1]Wages Sheet'!$B$8:$Z$192,25,FALSE)</f>
        <v>8011.6129032258068</v>
      </c>
      <c r="Q22" s="11">
        <f>VLOOKUP(B22,'[1]Wages Sheet'!$B$8:$AD$192,28,FALSE)</f>
        <v>24011.61290322581</v>
      </c>
      <c r="R22" s="11">
        <f>VLOOKUP(B22,'[1]Wages Sheet'!$B$8:$AD$192,29,FALSE)</f>
        <v>24012</v>
      </c>
      <c r="S22" s="11">
        <f>VLOOKUP(B22,'[1]Wages Sheet'!$B$8:$AF$192,31,FALSE)</f>
        <v>-0.38709677418955835</v>
      </c>
    </row>
    <row r="23" spans="1:19" x14ac:dyDescent="0.3">
      <c r="A23" s="8" t="s">
        <v>13</v>
      </c>
      <c r="B23" s="9" t="s">
        <v>93</v>
      </c>
      <c r="C23" s="9" t="s">
        <v>54</v>
      </c>
      <c r="D23" s="9" t="s">
        <v>69</v>
      </c>
      <c r="E23" s="9" t="s">
        <v>56</v>
      </c>
      <c r="F23" s="10">
        <v>30</v>
      </c>
      <c r="G23" s="10">
        <v>26</v>
      </c>
      <c r="H23" s="10">
        <v>4</v>
      </c>
      <c r="I23" s="10">
        <f>VLOOKUP(B23,'[1]Wages Sheet'!$B$8:$J$192,9,FALSE)</f>
        <v>3</v>
      </c>
      <c r="J23" s="10">
        <f>SUM(VLOOKUP(B23,'[1]Wages Sheet'!$B$8:$K$192,10,FALSE)+(VLOOKUP(B23,'[1]Wages Sheet'!$B$8:$L$192,11,FALSE)))</f>
        <v>4</v>
      </c>
      <c r="K23" s="10">
        <f>VLOOKUP(B23,'[1]Wages Sheet'!$B$8:$O$192,14,FALSE)</f>
        <v>4</v>
      </c>
      <c r="L23" s="10">
        <f>VLOOKUP(B23,'[1]Wages Sheet'!$B$8:$Q$192,16,FALSE)</f>
        <v>3</v>
      </c>
      <c r="M23" s="11">
        <f>VLOOKUP(B23,'[1]Wages Sheet'!$B$8:$T$193,19,FALSE)</f>
        <v>9500</v>
      </c>
      <c r="N23" s="11">
        <f>VLOOKUP(B23,'[1]Wages Sheet'!$B$8:$U$192,20,FALSE)</f>
        <v>9500</v>
      </c>
      <c r="O23" s="11">
        <f>VLOOKUP(B23,'[1]Wages Sheet'!$B$8:$W$192,22,FALSE)</f>
        <v>0</v>
      </c>
      <c r="P23" s="11">
        <f>VLOOKUP(B23,'[1]Wages Sheet'!$B$8:$Z$192,25,FALSE)</f>
        <v>9496.6666666666642</v>
      </c>
      <c r="Q23" s="11">
        <f>VLOOKUP(B23,'[1]Wages Sheet'!$B$8:$AD$192,28,FALSE)</f>
        <v>18996.666666666664</v>
      </c>
      <c r="R23" s="11">
        <f>VLOOKUP(B23,'[1]Wages Sheet'!$B$8:$AD$192,29,FALSE)</f>
        <v>19000</v>
      </c>
      <c r="S23" s="11">
        <f>VLOOKUP(B23,'[1]Wages Sheet'!$B$8:$AF$192,31,FALSE)</f>
        <v>-3.3333333333357587</v>
      </c>
    </row>
    <row r="24" spans="1:19" x14ac:dyDescent="0.3">
      <c r="A24" s="8" t="s">
        <v>13</v>
      </c>
      <c r="B24" s="9" t="s">
        <v>94</v>
      </c>
      <c r="C24" s="9" t="s">
        <v>95</v>
      </c>
      <c r="D24" s="9" t="s">
        <v>62</v>
      </c>
      <c r="E24" s="9"/>
      <c r="F24" s="10">
        <v>30</v>
      </c>
      <c r="G24" s="10">
        <v>0</v>
      </c>
      <c r="H24" s="10">
        <v>30</v>
      </c>
      <c r="I24" s="10">
        <f>VLOOKUP(B24,'[1]Wages Sheet'!$B$8:$J$192,9,FALSE)</f>
        <v>0</v>
      </c>
      <c r="J24" s="10">
        <f>SUM(VLOOKUP(B24,'[1]Wages Sheet'!$B$8:$K$192,10,FALSE)+(VLOOKUP(B24,'[1]Wages Sheet'!$B$8:$L$192,11,FALSE)))</f>
        <v>0</v>
      </c>
      <c r="K24" s="10">
        <f>VLOOKUP(B24,'[1]Wages Sheet'!$B$8:$O$192,14,FALSE)</f>
        <v>0</v>
      </c>
      <c r="L24" s="10">
        <f>VLOOKUP(B24,'[1]Wages Sheet'!$B$8:$Q$192,16,FALSE)</f>
        <v>0</v>
      </c>
      <c r="M24" s="11">
        <f>VLOOKUP(B24,'[1]Wages Sheet'!$B$8:$T$193,19,FALSE)</f>
        <v>16000</v>
      </c>
      <c r="N24" s="11">
        <f>VLOOKUP(B24,'[1]Wages Sheet'!$B$8:$U$192,20,FALSE)</f>
        <v>0</v>
      </c>
      <c r="O24" s="11">
        <f>VLOOKUP(B24,'[1]Wages Sheet'!$B$8:$W$192,22,FALSE)</f>
        <v>0.35483870967755138</v>
      </c>
      <c r="P24" s="11">
        <f>VLOOKUP(B24,'[1]Wages Sheet'!$B$8:$Z$192,25,FALSE)</f>
        <v>0</v>
      </c>
      <c r="Q24" s="11">
        <f>VLOOKUP(B24,'[1]Wages Sheet'!$B$8:$AD$192,28,FALSE)</f>
        <v>-0.35483870967755138</v>
      </c>
      <c r="R24" s="11">
        <f>VLOOKUP(B24,'[1]Wages Sheet'!$B$8:$AD$192,29,FALSE)</f>
        <v>0</v>
      </c>
      <c r="S24" s="11">
        <f>VLOOKUP(B24,'[1]Wages Sheet'!$B$8:$AF$192,31,FALSE)</f>
        <v>-0.35483870967755138</v>
      </c>
    </row>
    <row r="25" spans="1:19" x14ac:dyDescent="0.3">
      <c r="A25" s="8" t="s">
        <v>13</v>
      </c>
      <c r="B25" s="9" t="s">
        <v>96</v>
      </c>
      <c r="C25" s="9" t="s">
        <v>54</v>
      </c>
      <c r="D25" s="9" t="s">
        <v>55</v>
      </c>
      <c r="E25" s="9" t="s">
        <v>97</v>
      </c>
      <c r="F25" s="10">
        <v>30</v>
      </c>
      <c r="G25" s="10">
        <v>30</v>
      </c>
      <c r="H25" s="10">
        <v>0</v>
      </c>
      <c r="I25" s="10">
        <f>VLOOKUP(B25,'[1]Wages Sheet'!$B$8:$J$192,9,FALSE)</f>
        <v>11</v>
      </c>
      <c r="J25" s="10">
        <f>SUM(VLOOKUP(B25,'[1]Wages Sheet'!$B$8:$K$192,10,FALSE)+(VLOOKUP(B25,'[1]Wages Sheet'!$B$8:$L$192,11,FALSE)))</f>
        <v>4</v>
      </c>
      <c r="K25" s="10">
        <f>VLOOKUP(B25,'[1]Wages Sheet'!$B$8:$O$192,14,FALSE)</f>
        <v>0</v>
      </c>
      <c r="L25" s="10">
        <f>VLOOKUP(B25,'[1]Wages Sheet'!$B$8:$Q$192,16,FALSE)</f>
        <v>15</v>
      </c>
      <c r="M25" s="11">
        <f>VLOOKUP(B25,'[1]Wages Sheet'!$B$8:$T$193,19,FALSE)</f>
        <v>13000</v>
      </c>
      <c r="N25" s="11">
        <f>VLOOKUP(B25,'[1]Wages Sheet'!$B$8:$U$192,20,FALSE)</f>
        <v>13000</v>
      </c>
      <c r="O25" s="11">
        <f>VLOOKUP(B25,'[1]Wages Sheet'!$B$8:$W$192,22,FALSE)</f>
        <v>0</v>
      </c>
      <c r="P25" s="11">
        <f>VLOOKUP(B25,'[1]Wages Sheet'!$B$8:$Z$192,25,FALSE)</f>
        <v>8500</v>
      </c>
      <c r="Q25" s="11">
        <f>VLOOKUP(B25,'[1]Wages Sheet'!$B$8:$AD$192,28,FALSE)</f>
        <v>21500</v>
      </c>
      <c r="R25" s="11">
        <f>VLOOKUP(B25,'[1]Wages Sheet'!$B$8:$AD$192,29,FALSE)</f>
        <v>21500</v>
      </c>
      <c r="S25" s="11">
        <f>VLOOKUP(B25,'[1]Wages Sheet'!$B$8:$AF$192,31,FALSE)</f>
        <v>0</v>
      </c>
    </row>
    <row r="26" spans="1:19" x14ac:dyDescent="0.3">
      <c r="A26" s="8" t="s">
        <v>13</v>
      </c>
      <c r="B26" s="9" t="s">
        <v>98</v>
      </c>
      <c r="C26" s="9" t="s">
        <v>54</v>
      </c>
      <c r="D26" s="9" t="s">
        <v>55</v>
      </c>
      <c r="E26" s="9"/>
      <c r="F26" s="10">
        <v>30</v>
      </c>
      <c r="G26" s="10">
        <v>0</v>
      </c>
      <c r="H26" s="10">
        <v>30</v>
      </c>
      <c r="I26" s="10">
        <f>VLOOKUP(B26,'[1]Wages Sheet'!$B$8:$J$192,9,FALSE)</f>
        <v>0</v>
      </c>
      <c r="J26" s="10">
        <f>SUM(VLOOKUP(B26,'[1]Wages Sheet'!$B$8:$K$192,10,FALSE)+(VLOOKUP(B26,'[1]Wages Sheet'!$B$8:$L$192,11,FALSE)))</f>
        <v>0</v>
      </c>
      <c r="K26" s="10">
        <f>VLOOKUP(B26,'[1]Wages Sheet'!$B$8:$O$192,14,FALSE)</f>
        <v>0</v>
      </c>
      <c r="L26" s="10">
        <f>VLOOKUP(B26,'[1]Wages Sheet'!$B$8:$Q$192,16,FALSE)</f>
        <v>0</v>
      </c>
      <c r="M26" s="11">
        <f>VLOOKUP(B26,'[1]Wages Sheet'!$B$8:$T$193,19,FALSE)</f>
        <v>9000</v>
      </c>
      <c r="N26" s="11">
        <f>VLOOKUP(B26,'[1]Wages Sheet'!$B$8:$U$192,20,FALSE)</f>
        <v>0</v>
      </c>
      <c r="O26" s="11">
        <f>VLOOKUP(B26,'[1]Wages Sheet'!$B$8:$W$192,22,FALSE)</f>
        <v>21</v>
      </c>
      <c r="P26" s="11">
        <f>VLOOKUP(B26,'[1]Wages Sheet'!$B$8:$Z$192,25,FALSE)</f>
        <v>0</v>
      </c>
      <c r="Q26" s="11">
        <f>VLOOKUP(B26,'[1]Wages Sheet'!$B$8:$AD$192,28,FALSE)</f>
        <v>-21</v>
      </c>
      <c r="R26" s="11">
        <f>VLOOKUP(B26,'[1]Wages Sheet'!$B$8:$AD$192,29,FALSE)</f>
        <v>0</v>
      </c>
      <c r="S26" s="11">
        <f>VLOOKUP(B26,'[1]Wages Sheet'!$B$8:$AF$192,31,FALSE)</f>
        <v>-21</v>
      </c>
    </row>
    <row r="27" spans="1:19" x14ac:dyDescent="0.3">
      <c r="A27" s="8" t="s">
        <v>13</v>
      </c>
      <c r="B27" s="9" t="s">
        <v>99</v>
      </c>
      <c r="C27" s="9" t="s">
        <v>54</v>
      </c>
      <c r="D27" s="9" t="s">
        <v>100</v>
      </c>
      <c r="E27" s="9" t="s">
        <v>56</v>
      </c>
      <c r="F27" s="10">
        <v>30</v>
      </c>
      <c r="G27" s="10">
        <v>29</v>
      </c>
      <c r="H27" s="10">
        <v>1</v>
      </c>
      <c r="I27" s="10">
        <f>VLOOKUP(B27,'[1]Wages Sheet'!$B$8:$J$192,9,FALSE)</f>
        <v>0</v>
      </c>
      <c r="J27" s="10">
        <f>SUM(VLOOKUP(B27,'[1]Wages Sheet'!$B$8:$K$192,10,FALSE)+(VLOOKUP(B27,'[1]Wages Sheet'!$B$8:$L$192,11,FALSE)))</f>
        <v>0</v>
      </c>
      <c r="K27" s="10">
        <f>VLOOKUP(B27,'[1]Wages Sheet'!$B$8:$O$192,14,FALSE)</f>
        <v>0</v>
      </c>
      <c r="L27" s="10">
        <f>VLOOKUP(B27,'[1]Wages Sheet'!$B$8:$Q$192,16,FALSE)</f>
        <v>0</v>
      </c>
      <c r="M27" s="11">
        <f>VLOOKUP(B27,'[1]Wages Sheet'!$B$8:$T$193,19,FALSE)</f>
        <v>9000</v>
      </c>
      <c r="N27" s="11">
        <f>VLOOKUP(B27,'[1]Wages Sheet'!$B$8:$U$192,20,FALSE)</f>
        <v>8700</v>
      </c>
      <c r="O27" s="11">
        <f>VLOOKUP(B27,'[1]Wages Sheet'!$B$8:$W$192,22,FALSE)</f>
        <v>0</v>
      </c>
      <c r="P27" s="11">
        <f>VLOOKUP(B27,'[1]Wages Sheet'!$B$8:$Z$192,25,FALSE)</f>
        <v>9000.6370046082957</v>
      </c>
      <c r="Q27" s="11">
        <f>VLOOKUP(B27,'[1]Wages Sheet'!$B$8:$AD$192,28,FALSE)</f>
        <v>17700.637004608296</v>
      </c>
      <c r="R27" s="11">
        <f>VLOOKUP(B27,'[1]Wages Sheet'!$B$8:$AD$192,29,FALSE)</f>
        <v>17700</v>
      </c>
      <c r="S27" s="11">
        <f>VLOOKUP(B27,'[1]Wages Sheet'!$B$8:$AF$192,31,FALSE)</f>
        <v>0.63700460829568328</v>
      </c>
    </row>
    <row r="28" spans="1:19" x14ac:dyDescent="0.3">
      <c r="A28" s="8" t="s">
        <v>13</v>
      </c>
      <c r="B28" s="9" t="s">
        <v>101</v>
      </c>
      <c r="C28" s="9" t="s">
        <v>54</v>
      </c>
      <c r="D28" s="9" t="s">
        <v>102</v>
      </c>
      <c r="E28" s="9"/>
      <c r="F28" s="10">
        <v>30</v>
      </c>
      <c r="G28" s="10">
        <v>0</v>
      </c>
      <c r="H28" s="10">
        <v>30</v>
      </c>
      <c r="I28" s="10">
        <f>VLOOKUP(B28,'[1]Wages Sheet'!$B$8:$J$192,9,FALSE)</f>
        <v>0</v>
      </c>
      <c r="J28" s="10">
        <f>SUM(VLOOKUP(B28,'[1]Wages Sheet'!$B$8:$K$192,10,FALSE)+(VLOOKUP(B28,'[1]Wages Sheet'!$B$8:$L$192,11,FALSE)))</f>
        <v>0</v>
      </c>
      <c r="K28" s="10">
        <f>VLOOKUP(B28,'[1]Wages Sheet'!$B$8:$O$192,14,FALSE)</f>
        <v>0</v>
      </c>
      <c r="L28" s="10">
        <f>VLOOKUP(B28,'[1]Wages Sheet'!$B$8:$Q$192,16,FALSE)</f>
        <v>0</v>
      </c>
      <c r="M28" s="11">
        <f>VLOOKUP(B28,'[1]Wages Sheet'!$B$8:$T$193,19,FALSE)</f>
        <v>9500</v>
      </c>
      <c r="N28" s="11">
        <f>VLOOKUP(B28,'[1]Wages Sheet'!$B$8:$U$192,20,FALSE)</f>
        <v>0</v>
      </c>
      <c r="O28" s="11">
        <f>VLOOKUP(B28,'[1]Wages Sheet'!$B$8:$W$192,22,FALSE)</f>
        <v>0</v>
      </c>
      <c r="P28" s="11">
        <f>VLOOKUP(B28,'[1]Wages Sheet'!$B$8:$Z$192,25,FALSE)</f>
        <v>0</v>
      </c>
      <c r="Q28" s="11">
        <f>VLOOKUP(B28,'[1]Wages Sheet'!$B$8:$AD$192,28,FALSE)</f>
        <v>0</v>
      </c>
      <c r="R28" s="11">
        <f>VLOOKUP(B28,'[1]Wages Sheet'!$B$8:$AD$192,29,FALSE)</f>
        <v>0</v>
      </c>
      <c r="S28" s="11">
        <f>VLOOKUP(B28,'[1]Wages Sheet'!$B$8:$AF$192,31,FALSE)</f>
        <v>0</v>
      </c>
    </row>
    <row r="29" spans="1:19" x14ac:dyDescent="0.3">
      <c r="A29" s="8" t="s">
        <v>13</v>
      </c>
      <c r="B29" s="9" t="s">
        <v>103</v>
      </c>
      <c r="C29" s="9" t="s">
        <v>54</v>
      </c>
      <c r="D29" s="9" t="s">
        <v>62</v>
      </c>
      <c r="E29" s="9"/>
      <c r="F29" s="10">
        <v>30</v>
      </c>
      <c r="G29" s="10">
        <v>0</v>
      </c>
      <c r="H29" s="10">
        <v>30</v>
      </c>
      <c r="I29" s="10">
        <f>VLOOKUP(B29,'[1]Wages Sheet'!$B$8:$J$192,9,FALSE)</f>
        <v>0</v>
      </c>
      <c r="J29" s="10">
        <f>SUM(VLOOKUP(B29,'[1]Wages Sheet'!$B$8:$K$192,10,FALSE)+(VLOOKUP(B29,'[1]Wages Sheet'!$B$8:$L$192,11,FALSE)))</f>
        <v>0</v>
      </c>
      <c r="K29" s="10">
        <f>VLOOKUP(B29,'[1]Wages Sheet'!$B$8:$O$192,14,FALSE)</f>
        <v>0</v>
      </c>
      <c r="L29" s="10">
        <f>VLOOKUP(B29,'[1]Wages Sheet'!$B$8:$Q$192,16,FALSE)</f>
        <v>0</v>
      </c>
      <c r="M29" s="11">
        <f>VLOOKUP(B29,'[1]Wages Sheet'!$B$8:$T$193,19,FALSE)</f>
        <v>14500</v>
      </c>
      <c r="N29" s="11">
        <f>VLOOKUP(B29,'[1]Wages Sheet'!$B$8:$U$192,20,FALSE)</f>
        <v>0</v>
      </c>
      <c r="O29" s="11">
        <f>VLOOKUP(B29,'[1]Wages Sheet'!$B$8:$W$192,22,FALSE)</f>
        <v>0</v>
      </c>
      <c r="P29" s="11">
        <f>VLOOKUP(B29,'[1]Wages Sheet'!$B$8:$Z$192,25,FALSE)</f>
        <v>4199.9974193548387</v>
      </c>
      <c r="Q29" s="11">
        <f>VLOOKUP(B29,'[1]Wages Sheet'!$B$8:$AD$192,28,FALSE)</f>
        <v>4199.9974193548387</v>
      </c>
      <c r="R29" s="11">
        <f>VLOOKUP(B29,'[1]Wages Sheet'!$B$8:$AD$192,29,FALSE)</f>
        <v>0</v>
      </c>
      <c r="S29" s="11">
        <f>VLOOKUP(B29,'[1]Wages Sheet'!$B$8:$AF$192,31,FALSE)</f>
        <v>4199.9974193548387</v>
      </c>
    </row>
    <row r="30" spans="1:19" x14ac:dyDescent="0.3">
      <c r="A30" s="8" t="s">
        <v>13</v>
      </c>
      <c r="B30" s="9" t="s">
        <v>104</v>
      </c>
      <c r="C30" s="9" t="s">
        <v>54</v>
      </c>
      <c r="D30" s="9" t="s">
        <v>58</v>
      </c>
      <c r="E30" s="9"/>
      <c r="F30" s="10">
        <v>30</v>
      </c>
      <c r="G30" s="10">
        <v>0</v>
      </c>
      <c r="H30" s="10">
        <v>30</v>
      </c>
      <c r="I30" s="10">
        <f>VLOOKUP(B30,'[1]Wages Sheet'!$B$8:$J$192,9,FALSE)</f>
        <v>0</v>
      </c>
      <c r="J30" s="10">
        <f>SUM(VLOOKUP(B30,'[1]Wages Sheet'!$B$8:$K$192,10,FALSE)+(VLOOKUP(B30,'[1]Wages Sheet'!$B$8:$L$192,11,FALSE)))</f>
        <v>0</v>
      </c>
      <c r="K30" s="10">
        <f>VLOOKUP(B30,'[1]Wages Sheet'!$B$8:$O$192,14,FALSE)</f>
        <v>0</v>
      </c>
      <c r="L30" s="10">
        <f>VLOOKUP(B30,'[1]Wages Sheet'!$B$8:$Q$192,16,FALSE)</f>
        <v>0</v>
      </c>
      <c r="M30" s="11">
        <f>VLOOKUP(B30,'[1]Wages Sheet'!$B$8:$T$193,19,FALSE)</f>
        <v>9500</v>
      </c>
      <c r="N30" s="11">
        <f>VLOOKUP(B30,'[1]Wages Sheet'!$B$8:$U$192,20,FALSE)</f>
        <v>0</v>
      </c>
      <c r="O30" s="11">
        <f>VLOOKUP(B30,'[1]Wages Sheet'!$B$8:$W$192,22,FALSE)</f>
        <v>0</v>
      </c>
      <c r="P30" s="11">
        <f>VLOOKUP(B30,'[1]Wages Sheet'!$B$8:$Z$192,25,FALSE)</f>
        <v>3.7757296466952539</v>
      </c>
      <c r="Q30" s="11">
        <f>VLOOKUP(B30,'[1]Wages Sheet'!$B$8:$AD$192,28,FALSE)</f>
        <v>3.7757296466952539</v>
      </c>
      <c r="R30" s="11">
        <f>VLOOKUP(B30,'[1]Wages Sheet'!$B$8:$AD$192,29,FALSE)</f>
        <v>0</v>
      </c>
      <c r="S30" s="11">
        <f>VLOOKUP(B30,'[1]Wages Sheet'!$B$8:$AF$192,31,FALSE)</f>
        <v>3.7757296466952539</v>
      </c>
    </row>
    <row r="31" spans="1:19" x14ac:dyDescent="0.3">
      <c r="A31" s="8" t="s">
        <v>13</v>
      </c>
      <c r="B31" s="9" t="s">
        <v>105</v>
      </c>
      <c r="C31" s="9" t="s">
        <v>64</v>
      </c>
      <c r="D31" s="9" t="s">
        <v>58</v>
      </c>
      <c r="E31" s="9" t="s">
        <v>92</v>
      </c>
      <c r="F31" s="10">
        <v>30</v>
      </c>
      <c r="G31" s="10">
        <v>22</v>
      </c>
      <c r="H31" s="10">
        <v>8</v>
      </c>
      <c r="I31" s="10">
        <f>VLOOKUP(B31,'[1]Wages Sheet'!$B$8:$J$192,9,FALSE)</f>
        <v>-1</v>
      </c>
      <c r="J31" s="10">
        <f>SUM(VLOOKUP(B31,'[1]Wages Sheet'!$B$8:$K$192,10,FALSE)+(VLOOKUP(B31,'[1]Wages Sheet'!$B$8:$L$192,11,FALSE)))</f>
        <v>3</v>
      </c>
      <c r="K31" s="10">
        <f>VLOOKUP(B31,'[1]Wages Sheet'!$B$8:$O$192,14,FALSE)</f>
        <v>0</v>
      </c>
      <c r="L31" s="10">
        <f>VLOOKUP(B31,'[1]Wages Sheet'!$B$8:$Q$192,16,FALSE)</f>
        <v>0</v>
      </c>
      <c r="M31" s="11">
        <f>VLOOKUP(B31,'[1]Wages Sheet'!$B$8:$T$193,19,FALSE)</f>
        <v>9500</v>
      </c>
      <c r="N31" s="11">
        <f>VLOOKUP(B31,'[1]Wages Sheet'!$B$8:$U$192,20,FALSE)</f>
        <v>7916.666666666667</v>
      </c>
      <c r="O31" s="11">
        <f>VLOOKUP(B31,'[1]Wages Sheet'!$B$8:$W$192,22,FALSE)</f>
        <v>0</v>
      </c>
      <c r="P31" s="11">
        <f>VLOOKUP(B31,'[1]Wages Sheet'!$B$8:$Z$192,25,FALSE)</f>
        <v>1270.1935483870966</v>
      </c>
      <c r="Q31" s="11">
        <f>VLOOKUP(B31,'[1]Wages Sheet'!$B$8:$AD$192,28,FALSE)</f>
        <v>9186.8602150537627</v>
      </c>
      <c r="R31" s="11">
        <f>VLOOKUP(B31,'[1]Wages Sheet'!$B$8:$AD$192,29,FALSE)</f>
        <v>10000</v>
      </c>
      <c r="S31" s="11">
        <f>VLOOKUP(B31,'[1]Wages Sheet'!$B$8:$AF$192,31,FALSE)</f>
        <v>-813.13978494623734</v>
      </c>
    </row>
    <row r="32" spans="1:19" x14ac:dyDescent="0.3">
      <c r="A32" s="8" t="s">
        <v>13</v>
      </c>
      <c r="B32" s="9" t="s">
        <v>106</v>
      </c>
      <c r="C32" s="9" t="s">
        <v>54</v>
      </c>
      <c r="D32" s="9" t="s">
        <v>55</v>
      </c>
      <c r="E32" s="9" t="s">
        <v>56</v>
      </c>
      <c r="F32" s="10">
        <v>30</v>
      </c>
      <c r="G32" s="10">
        <v>26</v>
      </c>
      <c r="H32" s="10">
        <v>4</v>
      </c>
      <c r="I32" s="10">
        <f>VLOOKUP(B32,'[1]Wages Sheet'!$B$8:$J$192,9,FALSE)</f>
        <v>-3.5</v>
      </c>
      <c r="J32" s="10">
        <f>SUM(VLOOKUP(B32,'[1]Wages Sheet'!$B$8:$K$192,10,FALSE)+(VLOOKUP(B32,'[1]Wages Sheet'!$B$8:$L$192,11,FALSE)))</f>
        <v>4</v>
      </c>
      <c r="K32" s="10">
        <f>VLOOKUP(B32,'[1]Wages Sheet'!$B$8:$O$192,14,FALSE)</f>
        <v>4</v>
      </c>
      <c r="L32" s="10">
        <f>VLOOKUP(B32,'[1]Wages Sheet'!$B$8:$Q$192,16,FALSE)</f>
        <v>0</v>
      </c>
      <c r="M32" s="11">
        <f>VLOOKUP(B32,'[1]Wages Sheet'!$B$8:$T$193,19,FALSE)</f>
        <v>10000</v>
      </c>
      <c r="N32" s="11">
        <f>VLOOKUP(B32,'[1]Wages Sheet'!$B$8:$U$192,20,FALSE)</f>
        <v>10000</v>
      </c>
      <c r="O32" s="11">
        <f>VLOOKUP(B32,'[1]Wages Sheet'!$B$8:$W$192,22,FALSE)</f>
        <v>0</v>
      </c>
      <c r="P32" s="11">
        <f>VLOOKUP(B32,'[1]Wages Sheet'!$B$8:$Z$192,25,FALSE)</f>
        <v>7382.8341013824929</v>
      </c>
      <c r="Q32" s="11">
        <f>VLOOKUP(B32,'[1]Wages Sheet'!$B$8:$AD$192,28,FALSE)</f>
        <v>17382.834101382494</v>
      </c>
      <c r="R32" s="11">
        <f>VLOOKUP(B32,'[1]Wages Sheet'!$B$8:$AD$192,29,FALSE)</f>
        <v>17400</v>
      </c>
      <c r="S32" s="11">
        <f>VLOOKUP(B32,'[1]Wages Sheet'!$B$8:$AF$192,31,FALSE)</f>
        <v>-17.165898617506173</v>
      </c>
    </row>
    <row r="33" spans="1:19" x14ac:dyDescent="0.3">
      <c r="A33" s="8" t="s">
        <v>13</v>
      </c>
      <c r="B33" s="9" t="s">
        <v>107</v>
      </c>
      <c r="C33" s="9" t="s">
        <v>54</v>
      </c>
      <c r="D33" s="9" t="s">
        <v>108</v>
      </c>
      <c r="E33" s="9"/>
      <c r="F33" s="10">
        <v>30</v>
      </c>
      <c r="G33" s="10">
        <v>0</v>
      </c>
      <c r="H33" s="10">
        <v>30</v>
      </c>
      <c r="I33" s="10">
        <f>VLOOKUP(B33,'[1]Wages Sheet'!$B$8:$J$192,9,FALSE)</f>
        <v>0</v>
      </c>
      <c r="J33" s="10">
        <f>SUM(VLOOKUP(B33,'[1]Wages Sheet'!$B$8:$K$192,10,FALSE)+(VLOOKUP(B33,'[1]Wages Sheet'!$B$8:$L$192,11,FALSE)))</f>
        <v>0</v>
      </c>
      <c r="K33" s="10">
        <f>VLOOKUP(B33,'[1]Wages Sheet'!$B$8:$O$192,14,FALSE)</f>
        <v>0</v>
      </c>
      <c r="L33" s="10">
        <f>VLOOKUP(B33,'[1]Wages Sheet'!$B$8:$Q$192,16,FALSE)</f>
        <v>0</v>
      </c>
      <c r="M33" s="11">
        <f>VLOOKUP(B33,'[1]Wages Sheet'!$B$8:$T$193,19,FALSE)</f>
        <v>9000</v>
      </c>
      <c r="N33" s="11">
        <f>VLOOKUP(B33,'[1]Wages Sheet'!$B$8:$U$192,20,FALSE)</f>
        <v>0</v>
      </c>
      <c r="O33" s="11">
        <f>VLOOKUP(B33,'[1]Wages Sheet'!$B$8:$W$192,22,FALSE)</f>
        <v>0</v>
      </c>
      <c r="P33" s="11">
        <f>VLOOKUP(B33,'[1]Wages Sheet'!$B$8:$Z$192,25,FALSE)</f>
        <v>0</v>
      </c>
      <c r="Q33" s="11">
        <f>VLOOKUP(B33,'[1]Wages Sheet'!$B$8:$AD$192,28,FALSE)</f>
        <v>0</v>
      </c>
      <c r="R33" s="11">
        <f>VLOOKUP(B33,'[1]Wages Sheet'!$B$8:$AD$192,29,FALSE)</f>
        <v>0</v>
      </c>
      <c r="S33" s="11">
        <f>VLOOKUP(B33,'[1]Wages Sheet'!$B$8:$AF$192,31,FALSE)</f>
        <v>0</v>
      </c>
    </row>
    <row r="34" spans="1:19" x14ac:dyDescent="0.3">
      <c r="A34" s="8" t="s">
        <v>13</v>
      </c>
      <c r="B34" s="9" t="s">
        <v>109</v>
      </c>
      <c r="C34" s="9" t="s">
        <v>54</v>
      </c>
      <c r="D34" s="9" t="s">
        <v>110</v>
      </c>
      <c r="E34" s="9" t="s">
        <v>59</v>
      </c>
      <c r="F34" s="10">
        <v>30</v>
      </c>
      <c r="G34" s="10">
        <v>22</v>
      </c>
      <c r="H34" s="10">
        <v>8</v>
      </c>
      <c r="I34" s="10">
        <f>VLOOKUP(B34,'[1]Wages Sheet'!$B$8:$J$192,9,FALSE)</f>
        <v>9</v>
      </c>
      <c r="J34" s="10">
        <f>SUM(VLOOKUP(B34,'[1]Wages Sheet'!$B$8:$K$192,10,FALSE)+(VLOOKUP(B34,'[1]Wages Sheet'!$B$8:$L$192,11,FALSE)))</f>
        <v>3</v>
      </c>
      <c r="K34" s="10">
        <f>VLOOKUP(B34,'[1]Wages Sheet'!$B$8:$O$192,14,FALSE)</f>
        <v>0</v>
      </c>
      <c r="L34" s="10">
        <f>VLOOKUP(B34,'[1]Wages Sheet'!$B$8:$Q$192,16,FALSE)</f>
        <v>4</v>
      </c>
      <c r="M34" s="11">
        <f>VLOOKUP(B34,'[1]Wages Sheet'!$B$8:$T$193,19,FALSE)</f>
        <v>17000</v>
      </c>
      <c r="N34" s="11">
        <f>VLOOKUP(B34,'[1]Wages Sheet'!$B$8:$U$192,20,FALSE)</f>
        <v>17000</v>
      </c>
      <c r="O34" s="11">
        <f>VLOOKUP(B34,'[1]Wages Sheet'!$B$8:$W$192,22,FALSE)</f>
        <v>0</v>
      </c>
      <c r="P34" s="11">
        <f>VLOOKUP(B34,'[1]Wages Sheet'!$B$8:$Z$192,25,FALSE)</f>
        <v>0</v>
      </c>
      <c r="Q34" s="11">
        <f>VLOOKUP(B34,'[1]Wages Sheet'!$B$8:$AD$192,28,FALSE)</f>
        <v>17000</v>
      </c>
      <c r="R34" s="11">
        <f>VLOOKUP(B34,'[1]Wages Sheet'!$B$8:$AD$192,29,FALSE)</f>
        <v>17000</v>
      </c>
      <c r="S34" s="11">
        <f>VLOOKUP(B34,'[1]Wages Sheet'!$B$8:$AF$192,31,FALSE)</f>
        <v>0</v>
      </c>
    </row>
    <row r="35" spans="1:19" x14ac:dyDescent="0.3">
      <c r="A35" s="8" t="s">
        <v>13</v>
      </c>
      <c r="B35" s="9" t="s">
        <v>111</v>
      </c>
      <c r="C35" s="9" t="s">
        <v>54</v>
      </c>
      <c r="D35" s="9" t="s">
        <v>100</v>
      </c>
      <c r="E35" s="9" t="s">
        <v>56</v>
      </c>
      <c r="F35" s="10">
        <v>30</v>
      </c>
      <c r="G35" s="10">
        <v>28</v>
      </c>
      <c r="H35" s="10">
        <v>2</v>
      </c>
      <c r="I35" s="10">
        <f>VLOOKUP(B35,'[1]Wages Sheet'!$B$8:$J$192,9,FALSE)</f>
        <v>0</v>
      </c>
      <c r="J35" s="10">
        <f>SUM(VLOOKUP(B35,'[1]Wages Sheet'!$B$8:$K$192,10,FALSE)+(VLOOKUP(B35,'[1]Wages Sheet'!$B$8:$L$192,11,FALSE)))</f>
        <v>0</v>
      </c>
      <c r="K35" s="10">
        <f>VLOOKUP(B35,'[1]Wages Sheet'!$B$8:$O$192,14,FALSE)</f>
        <v>0</v>
      </c>
      <c r="L35" s="10">
        <f>VLOOKUP(B35,'[1]Wages Sheet'!$B$8:$Q$192,16,FALSE)</f>
        <v>0</v>
      </c>
      <c r="M35" s="11">
        <f>VLOOKUP(B35,'[1]Wages Sheet'!$B$8:$T$193,19,FALSE)</f>
        <v>9000</v>
      </c>
      <c r="N35" s="11">
        <f>VLOOKUP(B35,'[1]Wages Sheet'!$B$8:$U$192,20,FALSE)</f>
        <v>8400</v>
      </c>
      <c r="O35" s="11">
        <f>VLOOKUP(B35,'[1]Wages Sheet'!$B$8:$W$192,22,FALSE)</f>
        <v>0</v>
      </c>
      <c r="P35" s="11">
        <f>VLOOKUP(B35,'[1]Wages Sheet'!$B$8:$Z$192,25,FALSE)</f>
        <v>8420.4541167434763</v>
      </c>
      <c r="Q35" s="11">
        <f>VLOOKUP(B35,'[1]Wages Sheet'!$B$8:$AD$192,28,FALSE)</f>
        <v>16820.454116743476</v>
      </c>
      <c r="R35" s="11">
        <f>VLOOKUP(B35,'[1]Wages Sheet'!$B$8:$AD$192,29,FALSE)</f>
        <v>16820</v>
      </c>
      <c r="S35" s="11">
        <f>VLOOKUP(B35,'[1]Wages Sheet'!$B$8:$AF$192,31,FALSE)</f>
        <v>0.4541167434763338</v>
      </c>
    </row>
    <row r="36" spans="1:19" x14ac:dyDescent="0.3">
      <c r="A36" s="8" t="s">
        <v>13</v>
      </c>
      <c r="B36" s="9" t="s">
        <v>112</v>
      </c>
      <c r="C36" s="9" t="s">
        <v>54</v>
      </c>
      <c r="D36" s="9" t="s">
        <v>113</v>
      </c>
      <c r="E36" s="9"/>
      <c r="F36" s="10">
        <v>30</v>
      </c>
      <c r="G36" s="10">
        <v>0</v>
      </c>
      <c r="H36" s="10">
        <v>30</v>
      </c>
      <c r="I36" s="10">
        <f>VLOOKUP(B36,'[1]Wages Sheet'!$B$8:$J$192,9,FALSE)</f>
        <v>0</v>
      </c>
      <c r="J36" s="10">
        <f>SUM(VLOOKUP(B36,'[1]Wages Sheet'!$B$8:$K$192,10,FALSE)+(VLOOKUP(B36,'[1]Wages Sheet'!$B$8:$L$192,11,FALSE)))</f>
        <v>0</v>
      </c>
      <c r="K36" s="10">
        <f>VLOOKUP(B36,'[1]Wages Sheet'!$B$8:$O$192,14,FALSE)</f>
        <v>0</v>
      </c>
      <c r="L36" s="10">
        <f>VLOOKUP(B36,'[1]Wages Sheet'!$B$8:$Q$192,16,FALSE)</f>
        <v>0</v>
      </c>
      <c r="M36" s="11">
        <f>VLOOKUP(B36,'[1]Wages Sheet'!$B$8:$T$193,19,FALSE)</f>
        <v>9500</v>
      </c>
      <c r="N36" s="11">
        <f>VLOOKUP(B36,'[1]Wages Sheet'!$B$8:$U$192,20,FALSE)</f>
        <v>0</v>
      </c>
      <c r="O36" s="11">
        <f>VLOOKUP(B36,'[1]Wages Sheet'!$B$8:$W$192,22,FALSE)</f>
        <v>0</v>
      </c>
      <c r="P36" s="11">
        <f>VLOOKUP(B36,'[1]Wages Sheet'!$B$8:$Z$192,25,FALSE)</f>
        <v>0</v>
      </c>
      <c r="Q36" s="11">
        <f>VLOOKUP(B36,'[1]Wages Sheet'!$B$8:$AD$192,28,FALSE)</f>
        <v>0</v>
      </c>
      <c r="R36" s="11">
        <f>VLOOKUP(B36,'[1]Wages Sheet'!$B$8:$AD$192,29,FALSE)</f>
        <v>0</v>
      </c>
      <c r="S36" s="11">
        <f>VLOOKUP(B36,'[1]Wages Sheet'!$B$8:$AF$192,31,FALSE)</f>
        <v>0</v>
      </c>
    </row>
    <row r="37" spans="1:19" x14ac:dyDescent="0.3">
      <c r="A37" s="8" t="s">
        <v>13</v>
      </c>
      <c r="B37" s="9" t="s">
        <v>114</v>
      </c>
      <c r="C37" s="9" t="s">
        <v>54</v>
      </c>
      <c r="D37" s="9" t="s">
        <v>100</v>
      </c>
      <c r="E37" s="9" t="s">
        <v>56</v>
      </c>
      <c r="F37" s="10">
        <v>30</v>
      </c>
      <c r="G37" s="10">
        <v>28</v>
      </c>
      <c r="H37" s="10">
        <v>2</v>
      </c>
      <c r="I37" s="10">
        <f>VLOOKUP(B37,'[1]Wages Sheet'!$B$8:$J$192,9,FALSE)</f>
        <v>0</v>
      </c>
      <c r="J37" s="10">
        <f>SUM(VLOOKUP(B37,'[1]Wages Sheet'!$B$8:$K$192,10,FALSE)+(VLOOKUP(B37,'[1]Wages Sheet'!$B$8:$L$192,11,FALSE)))</f>
        <v>0</v>
      </c>
      <c r="K37" s="10">
        <f>VLOOKUP(B37,'[1]Wages Sheet'!$B$8:$O$192,14,FALSE)</f>
        <v>0</v>
      </c>
      <c r="L37" s="10">
        <f>VLOOKUP(B37,'[1]Wages Sheet'!$B$8:$Q$192,16,FALSE)</f>
        <v>0</v>
      </c>
      <c r="M37" s="11">
        <f>VLOOKUP(B37,'[1]Wages Sheet'!$B$8:$T$193,19,FALSE)</f>
        <v>9000</v>
      </c>
      <c r="N37" s="11">
        <f>VLOOKUP(B37,'[1]Wages Sheet'!$B$8:$U$192,20,FALSE)</f>
        <v>8400</v>
      </c>
      <c r="O37" s="11">
        <f>VLOOKUP(B37,'[1]Wages Sheet'!$B$8:$W$192,22,FALSE)</f>
        <v>0</v>
      </c>
      <c r="P37" s="11">
        <f>VLOOKUP(B37,'[1]Wages Sheet'!$B$8:$Z$192,25,FALSE)</f>
        <v>8128.8679877112163</v>
      </c>
      <c r="Q37" s="11">
        <f>VLOOKUP(B37,'[1]Wages Sheet'!$B$8:$AD$192,28,FALSE)</f>
        <v>16528.867987711215</v>
      </c>
      <c r="R37" s="11">
        <f>VLOOKUP(B37,'[1]Wages Sheet'!$B$8:$AD$192,29,FALSE)</f>
        <v>16530</v>
      </c>
      <c r="S37" s="11">
        <f>VLOOKUP(B37,'[1]Wages Sheet'!$B$8:$AF$192,31,FALSE)</f>
        <v>-1.1320122887846082</v>
      </c>
    </row>
    <row r="38" spans="1:19" x14ac:dyDescent="0.3">
      <c r="A38" s="8" t="s">
        <v>13</v>
      </c>
      <c r="B38" s="9" t="s">
        <v>115</v>
      </c>
      <c r="C38" s="9" t="s">
        <v>54</v>
      </c>
      <c r="D38" s="9" t="s">
        <v>116</v>
      </c>
      <c r="E38" s="9" t="s">
        <v>56</v>
      </c>
      <c r="F38" s="10">
        <v>30</v>
      </c>
      <c r="G38" s="10">
        <v>27</v>
      </c>
      <c r="H38" s="10">
        <v>3</v>
      </c>
      <c r="I38" s="10">
        <f>VLOOKUP(B38,'[1]Wages Sheet'!$B$8:$J$192,9,FALSE)</f>
        <v>-1</v>
      </c>
      <c r="J38" s="10">
        <f>SUM(VLOOKUP(B38,'[1]Wages Sheet'!$B$8:$K$192,10,FALSE)+(VLOOKUP(B38,'[1]Wages Sheet'!$B$8:$L$192,11,FALSE)))</f>
        <v>4</v>
      </c>
      <c r="K38" s="10">
        <f>VLOOKUP(B38,'[1]Wages Sheet'!$B$8:$O$192,14,FALSE)</f>
        <v>3</v>
      </c>
      <c r="L38" s="10">
        <f>VLOOKUP(B38,'[1]Wages Sheet'!$B$8:$Q$192,16,FALSE)</f>
        <v>1</v>
      </c>
      <c r="M38" s="11">
        <f>VLOOKUP(B38,'[1]Wages Sheet'!$B$8:$T$193,19,FALSE)</f>
        <v>17000</v>
      </c>
      <c r="N38" s="11">
        <f>VLOOKUP(B38,'[1]Wages Sheet'!$B$8:$U$192,20,FALSE)</f>
        <v>17000</v>
      </c>
      <c r="O38" s="11">
        <f>VLOOKUP(B38,'[1]Wages Sheet'!$B$8:$W$192,22,FALSE)</f>
        <v>0</v>
      </c>
      <c r="P38" s="11">
        <f>VLOOKUP(B38,'[1]Wages Sheet'!$B$8:$Z$192,25,FALSE)</f>
        <v>12999.677419354841</v>
      </c>
      <c r="Q38" s="11">
        <f>VLOOKUP(B38,'[1]Wages Sheet'!$B$8:$AD$192,28,FALSE)</f>
        <v>29999.677419354841</v>
      </c>
      <c r="R38" s="11">
        <f>VLOOKUP(B38,'[1]Wages Sheet'!$B$8:$AD$192,29,FALSE)</f>
        <v>30000</v>
      </c>
      <c r="S38" s="11">
        <f>VLOOKUP(B38,'[1]Wages Sheet'!$B$8:$AF$192,31,FALSE)</f>
        <v>-0.32258064515917795</v>
      </c>
    </row>
    <row r="39" spans="1:19" x14ac:dyDescent="0.3">
      <c r="A39" s="8" t="s">
        <v>13</v>
      </c>
      <c r="B39" s="9" t="s">
        <v>117</v>
      </c>
      <c r="C39" s="9" t="s">
        <v>64</v>
      </c>
      <c r="D39" s="9" t="s">
        <v>118</v>
      </c>
      <c r="E39" s="9" t="s">
        <v>119</v>
      </c>
      <c r="F39" s="10">
        <v>30</v>
      </c>
      <c r="G39" s="10">
        <v>24</v>
      </c>
      <c r="H39" s="10">
        <v>6</v>
      </c>
      <c r="I39" s="10">
        <f>VLOOKUP(B39,'[1]Wages Sheet'!$B$8:$J$192,9,FALSE)</f>
        <v>-7</v>
      </c>
      <c r="J39" s="10">
        <f>SUM(VLOOKUP(B39,'[1]Wages Sheet'!$B$8:$K$192,10,FALSE)+(VLOOKUP(B39,'[1]Wages Sheet'!$B$8:$L$192,11,FALSE)))</f>
        <v>6</v>
      </c>
      <c r="K39" s="10">
        <f>VLOOKUP(B39,'[1]Wages Sheet'!$B$8:$O$192,14,FALSE)</f>
        <v>6</v>
      </c>
      <c r="L39" s="10">
        <f>VLOOKUP(B39,'[1]Wages Sheet'!$B$8:$Q$192,16,FALSE)</f>
        <v>0</v>
      </c>
      <c r="M39" s="11">
        <f>VLOOKUP(B39,'[1]Wages Sheet'!$B$8:$T$193,19,FALSE)</f>
        <v>17000</v>
      </c>
      <c r="N39" s="11">
        <f>VLOOKUP(B39,'[1]Wages Sheet'!$B$8:$U$192,20,FALSE)</f>
        <v>17000</v>
      </c>
      <c r="O39" s="11">
        <f>VLOOKUP(B39,'[1]Wages Sheet'!$B$8:$W$192,22,FALSE)</f>
        <v>24000</v>
      </c>
      <c r="P39" s="11">
        <f>VLOOKUP(B39,'[1]Wages Sheet'!$B$8:$Z$192,25,FALSE)</f>
        <v>0</v>
      </c>
      <c r="Q39" s="11">
        <f>VLOOKUP(B39,'[1]Wages Sheet'!$B$8:$AD$192,28,FALSE)</f>
        <v>-7000</v>
      </c>
      <c r="R39" s="11">
        <f>VLOOKUP(B39,'[1]Wages Sheet'!$B$8:$AD$192,29,FALSE)</f>
        <v>10000</v>
      </c>
      <c r="S39" s="11">
        <f>VLOOKUP(B39,'[1]Wages Sheet'!$B$8:$AF$192,31,FALSE)</f>
        <v>-17000</v>
      </c>
    </row>
    <row r="40" spans="1:19" x14ac:dyDescent="0.3">
      <c r="A40" s="8" t="s">
        <v>13</v>
      </c>
      <c r="B40" s="9" t="s">
        <v>120</v>
      </c>
      <c r="C40" s="9" t="s">
        <v>54</v>
      </c>
      <c r="D40" s="9" t="s">
        <v>67</v>
      </c>
      <c r="E40" s="9"/>
      <c r="F40" s="10">
        <v>30</v>
      </c>
      <c r="G40" s="10">
        <v>0</v>
      </c>
      <c r="H40" s="10">
        <v>30</v>
      </c>
      <c r="I40" s="10">
        <f>VLOOKUP(B40,'[1]Wages Sheet'!$B$8:$J$192,9,FALSE)</f>
        <v>0</v>
      </c>
      <c r="J40" s="10">
        <f>SUM(VLOOKUP(B40,'[1]Wages Sheet'!$B$8:$K$192,10,FALSE)+(VLOOKUP(B40,'[1]Wages Sheet'!$B$8:$L$192,11,FALSE)))</f>
        <v>0</v>
      </c>
      <c r="K40" s="10">
        <f>VLOOKUP(B40,'[1]Wages Sheet'!$B$8:$O$192,14,FALSE)</f>
        <v>0</v>
      </c>
      <c r="L40" s="10">
        <f>VLOOKUP(B40,'[1]Wages Sheet'!$B$8:$Q$192,16,FALSE)</f>
        <v>0</v>
      </c>
      <c r="M40" s="11">
        <f>VLOOKUP(B40,'[1]Wages Sheet'!$B$8:$T$193,19,FALSE)</f>
        <v>37000</v>
      </c>
      <c r="N40" s="11">
        <f>VLOOKUP(B40,'[1]Wages Sheet'!$B$8:$U$192,20,FALSE)</f>
        <v>0</v>
      </c>
      <c r="O40" s="11">
        <f>VLOOKUP(B40,'[1]Wages Sheet'!$B$8:$W$192,22,FALSE)</f>
        <v>0</v>
      </c>
      <c r="P40" s="11">
        <f>VLOOKUP(B40,'[1]Wages Sheet'!$B$8:$Z$192,25,FALSE)</f>
        <v>0</v>
      </c>
      <c r="Q40" s="11">
        <f>VLOOKUP(B40,'[1]Wages Sheet'!$B$8:$AD$192,28,FALSE)</f>
        <v>0</v>
      </c>
      <c r="R40" s="11">
        <f>VLOOKUP(B40,'[1]Wages Sheet'!$B$8:$AD$192,29,FALSE)</f>
        <v>0</v>
      </c>
      <c r="S40" s="11">
        <f>VLOOKUP(B40,'[1]Wages Sheet'!$B$8:$AF$192,31,FALSE)</f>
        <v>0</v>
      </c>
    </row>
    <row r="41" spans="1:19" x14ac:dyDescent="0.3">
      <c r="A41" s="8" t="s">
        <v>13</v>
      </c>
      <c r="B41" s="9" t="s">
        <v>121</v>
      </c>
      <c r="C41" s="9" t="s">
        <v>64</v>
      </c>
      <c r="D41" s="9" t="s">
        <v>122</v>
      </c>
      <c r="E41" s="9" t="s">
        <v>56</v>
      </c>
      <c r="F41" s="10">
        <v>30</v>
      </c>
      <c r="G41" s="10">
        <v>28</v>
      </c>
      <c r="H41" s="10">
        <v>2</v>
      </c>
      <c r="I41" s="10">
        <f>VLOOKUP(B41,'[1]Wages Sheet'!$B$8:$J$192,9,FALSE)</f>
        <v>5</v>
      </c>
      <c r="J41" s="10">
        <f>SUM(VLOOKUP(B41,'[1]Wages Sheet'!$B$8:$K$192,10,FALSE)+(VLOOKUP(B41,'[1]Wages Sheet'!$B$8:$L$192,11,FALSE)))</f>
        <v>4</v>
      </c>
      <c r="K41" s="10">
        <f>VLOOKUP(B41,'[1]Wages Sheet'!$B$8:$O$192,14,FALSE)</f>
        <v>2</v>
      </c>
      <c r="L41" s="10">
        <f>VLOOKUP(B41,'[1]Wages Sheet'!$B$8:$Q$192,16,FALSE)</f>
        <v>7</v>
      </c>
      <c r="M41" s="11">
        <f>VLOOKUP(B41,'[1]Wages Sheet'!$B$8:$T$193,19,FALSE)</f>
        <v>18000</v>
      </c>
      <c r="N41" s="11">
        <f>VLOOKUP(B41,'[1]Wages Sheet'!$B$8:$U$192,20,FALSE)</f>
        <v>18000</v>
      </c>
      <c r="O41" s="11">
        <f>VLOOKUP(B41,'[1]Wages Sheet'!$B$8:$W$192,22,FALSE)</f>
        <v>0</v>
      </c>
      <c r="P41" s="11">
        <f>VLOOKUP(B41,'[1]Wages Sheet'!$B$8:$Z$192,25,FALSE)</f>
        <v>18000</v>
      </c>
      <c r="Q41" s="11">
        <f>VLOOKUP(B41,'[1]Wages Sheet'!$B$8:$AD$192,28,FALSE)</f>
        <v>36000</v>
      </c>
      <c r="R41" s="11">
        <f>VLOOKUP(B41,'[1]Wages Sheet'!$B$8:$AD$192,29,FALSE)</f>
        <v>36000</v>
      </c>
      <c r="S41" s="11">
        <f>VLOOKUP(B41,'[1]Wages Sheet'!$B$8:$AF$192,31,FALSE)</f>
        <v>0</v>
      </c>
    </row>
    <row r="42" spans="1:19" x14ac:dyDescent="0.3">
      <c r="A42" s="8" t="s">
        <v>13</v>
      </c>
      <c r="B42" s="9" t="s">
        <v>123</v>
      </c>
      <c r="C42" s="9" t="s">
        <v>54</v>
      </c>
      <c r="D42" s="9" t="s">
        <v>100</v>
      </c>
      <c r="E42" s="9"/>
      <c r="F42" s="10">
        <v>30</v>
      </c>
      <c r="G42" s="10">
        <v>0</v>
      </c>
      <c r="H42" s="10">
        <v>30</v>
      </c>
      <c r="I42" s="10">
        <f>VLOOKUP(B42,'[1]Wages Sheet'!$B$8:$J$192,9,FALSE)</f>
        <v>0</v>
      </c>
      <c r="J42" s="10">
        <f>SUM(VLOOKUP(B42,'[1]Wages Sheet'!$B$8:$K$192,10,FALSE)+(VLOOKUP(B42,'[1]Wages Sheet'!$B$8:$L$192,11,FALSE)))</f>
        <v>0</v>
      </c>
      <c r="K42" s="10">
        <f>VLOOKUP(B42,'[1]Wages Sheet'!$B$8:$O$192,14,FALSE)</f>
        <v>0</v>
      </c>
      <c r="L42" s="10">
        <f>VLOOKUP(B42,'[1]Wages Sheet'!$B$8:$Q$192,16,FALSE)</f>
        <v>0</v>
      </c>
      <c r="M42" s="11">
        <f>VLOOKUP(B42,'[1]Wages Sheet'!$B$8:$T$193,19,FALSE)</f>
        <v>11850</v>
      </c>
      <c r="N42" s="11">
        <f>VLOOKUP(B42,'[1]Wages Sheet'!$B$8:$U$192,20,FALSE)</f>
        <v>0</v>
      </c>
      <c r="O42" s="11">
        <f>VLOOKUP(B42,'[1]Wages Sheet'!$B$8:$W$192,22,FALSE)</f>
        <v>0</v>
      </c>
      <c r="P42" s="11">
        <f>VLOOKUP(B42,'[1]Wages Sheet'!$B$8:$Z$192,25,FALSE)</f>
        <v>0</v>
      </c>
      <c r="Q42" s="11">
        <f>VLOOKUP(B42,'[1]Wages Sheet'!$B$8:$AD$192,28,FALSE)</f>
        <v>0</v>
      </c>
      <c r="R42" s="11">
        <f>VLOOKUP(B42,'[1]Wages Sheet'!$B$8:$AD$192,29,FALSE)</f>
        <v>0</v>
      </c>
      <c r="S42" s="11">
        <f>VLOOKUP(B42,'[1]Wages Sheet'!$B$8:$AF$192,31,FALSE)</f>
        <v>0</v>
      </c>
    </row>
    <row r="43" spans="1:19" x14ac:dyDescent="0.3">
      <c r="A43" s="8" t="s">
        <v>13</v>
      </c>
      <c r="B43" s="9" t="s">
        <v>124</v>
      </c>
      <c r="C43" s="9" t="s">
        <v>64</v>
      </c>
      <c r="D43" s="9" t="s">
        <v>55</v>
      </c>
      <c r="E43" s="9" t="s">
        <v>59</v>
      </c>
      <c r="F43" s="10">
        <v>30</v>
      </c>
      <c r="G43" s="10">
        <v>28</v>
      </c>
      <c r="H43" s="10">
        <v>2</v>
      </c>
      <c r="I43" s="10">
        <f>VLOOKUP(B43,'[1]Wages Sheet'!$B$8:$J$192,9,FALSE)</f>
        <v>-4</v>
      </c>
      <c r="J43" s="10">
        <f>SUM(VLOOKUP(B43,'[1]Wages Sheet'!$B$8:$K$192,10,FALSE)+(VLOOKUP(B43,'[1]Wages Sheet'!$B$8:$L$192,11,FALSE)))</f>
        <v>4</v>
      </c>
      <c r="K43" s="10">
        <f>VLOOKUP(B43,'[1]Wages Sheet'!$B$8:$O$192,14,FALSE)</f>
        <v>0</v>
      </c>
      <c r="L43" s="10">
        <f>VLOOKUP(B43,'[1]Wages Sheet'!$B$8:$Q$192,16,FALSE)</f>
        <v>2</v>
      </c>
      <c r="M43" s="11">
        <f>VLOOKUP(B43,'[1]Wages Sheet'!$B$8:$T$193,19,FALSE)</f>
        <v>14000</v>
      </c>
      <c r="N43" s="11">
        <f>VLOOKUP(B43,'[1]Wages Sheet'!$B$8:$U$192,20,FALSE)</f>
        <v>14000</v>
      </c>
      <c r="O43" s="11">
        <f>VLOOKUP(B43,'[1]Wages Sheet'!$B$8:$W$192,22,FALSE)</f>
        <v>6000</v>
      </c>
      <c r="P43" s="11">
        <f>VLOOKUP(B43,'[1]Wages Sheet'!$B$8:$Z$192,25,FALSE)</f>
        <v>0</v>
      </c>
      <c r="Q43" s="11">
        <f>VLOOKUP(B43,'[1]Wages Sheet'!$B$8:$AD$192,28,FALSE)</f>
        <v>8000</v>
      </c>
      <c r="R43" s="11">
        <f>VLOOKUP(B43,'[1]Wages Sheet'!$B$8:$AD$192,29,FALSE)</f>
        <v>0</v>
      </c>
      <c r="S43" s="11">
        <f>VLOOKUP(B43,'[1]Wages Sheet'!$B$8:$AF$192,31,FALSE)</f>
        <v>8000</v>
      </c>
    </row>
    <row r="44" spans="1:19" x14ac:dyDescent="0.3">
      <c r="A44" s="8" t="s">
        <v>13</v>
      </c>
      <c r="B44" s="9" t="s">
        <v>125</v>
      </c>
      <c r="C44" s="9" t="s">
        <v>54</v>
      </c>
      <c r="D44" s="9" t="s">
        <v>88</v>
      </c>
      <c r="E44" s="9"/>
      <c r="F44" s="10">
        <v>30</v>
      </c>
      <c r="G44" s="10">
        <v>0</v>
      </c>
      <c r="H44" s="10">
        <v>30</v>
      </c>
      <c r="I44" s="10">
        <f>VLOOKUP(B44,'[1]Wages Sheet'!$B$8:$J$192,9,FALSE)</f>
        <v>0</v>
      </c>
      <c r="J44" s="10">
        <f>SUM(VLOOKUP(B44,'[1]Wages Sheet'!$B$8:$K$192,10,FALSE)+(VLOOKUP(B44,'[1]Wages Sheet'!$B$8:$L$192,11,FALSE)))</f>
        <v>0</v>
      </c>
      <c r="K44" s="10">
        <f>VLOOKUP(B44,'[1]Wages Sheet'!$B$8:$O$192,14,FALSE)</f>
        <v>0</v>
      </c>
      <c r="L44" s="10">
        <f>VLOOKUP(B44,'[1]Wages Sheet'!$B$8:$Q$192,16,FALSE)</f>
        <v>0</v>
      </c>
      <c r="M44" s="11">
        <f>VLOOKUP(B44,'[1]Wages Sheet'!$B$8:$T$193,19,FALSE)</f>
        <v>11000</v>
      </c>
      <c r="N44" s="11">
        <f>VLOOKUP(B44,'[1]Wages Sheet'!$B$8:$U$192,20,FALSE)</f>
        <v>0</v>
      </c>
      <c r="O44" s="11">
        <f>VLOOKUP(B44,'[1]Wages Sheet'!$B$8:$W$192,22,FALSE)</f>
        <v>0</v>
      </c>
      <c r="P44" s="11">
        <f>VLOOKUP(B44,'[1]Wages Sheet'!$B$8:$Z$192,25,FALSE)</f>
        <v>0.33333333333348492</v>
      </c>
      <c r="Q44" s="11">
        <f>VLOOKUP(B44,'[1]Wages Sheet'!$B$8:$AD$192,28,FALSE)</f>
        <v>0.33333333333348492</v>
      </c>
      <c r="R44" s="11">
        <f>VLOOKUP(B44,'[1]Wages Sheet'!$B$8:$AD$192,29,FALSE)</f>
        <v>0</v>
      </c>
      <c r="S44" s="11">
        <f>VLOOKUP(B44,'[1]Wages Sheet'!$B$8:$AF$192,31,FALSE)</f>
        <v>0.33333333333348492</v>
      </c>
    </row>
    <row r="45" spans="1:19" x14ac:dyDescent="0.3">
      <c r="A45" s="8" t="s">
        <v>13</v>
      </c>
      <c r="B45" s="9" t="s">
        <v>126</v>
      </c>
      <c r="C45" s="9" t="s">
        <v>54</v>
      </c>
      <c r="D45" s="9" t="s">
        <v>67</v>
      </c>
      <c r="E45" s="9"/>
      <c r="F45" s="10">
        <v>30</v>
      </c>
      <c r="G45" s="10">
        <v>0</v>
      </c>
      <c r="H45" s="10">
        <v>30</v>
      </c>
      <c r="I45" s="10">
        <f>VLOOKUP(B45,'[1]Wages Sheet'!$B$8:$J$192,9,FALSE)</f>
        <v>0</v>
      </c>
      <c r="J45" s="10">
        <f>SUM(VLOOKUP(B45,'[1]Wages Sheet'!$B$8:$K$192,10,FALSE)+(VLOOKUP(B45,'[1]Wages Sheet'!$B$8:$L$192,11,FALSE)))</f>
        <v>0</v>
      </c>
      <c r="K45" s="10">
        <f>VLOOKUP(B45,'[1]Wages Sheet'!$B$8:$O$192,14,FALSE)</f>
        <v>0</v>
      </c>
      <c r="L45" s="10">
        <f>VLOOKUP(B45,'[1]Wages Sheet'!$B$8:$Q$192,16,FALSE)</f>
        <v>0</v>
      </c>
      <c r="M45" s="11">
        <f>VLOOKUP(B45,'[1]Wages Sheet'!$B$8:$T$193,19,FALSE)</f>
        <v>30000</v>
      </c>
      <c r="N45" s="11">
        <f>VLOOKUP(B45,'[1]Wages Sheet'!$B$8:$U$192,20,FALSE)</f>
        <v>0</v>
      </c>
      <c r="O45" s="11">
        <f>VLOOKUP(B45,'[1]Wages Sheet'!$B$8:$W$192,22,FALSE)</f>
        <v>0</v>
      </c>
      <c r="P45" s="11">
        <f>VLOOKUP(B45,'[1]Wages Sheet'!$B$8:$Z$192,25,FALSE)</f>
        <v>0</v>
      </c>
      <c r="Q45" s="11">
        <f>VLOOKUP(B45,'[1]Wages Sheet'!$B$8:$AD$192,28,FALSE)</f>
        <v>0</v>
      </c>
      <c r="R45" s="11">
        <f>VLOOKUP(B45,'[1]Wages Sheet'!$B$8:$AD$192,29,FALSE)</f>
        <v>0</v>
      </c>
      <c r="S45" s="11">
        <f>VLOOKUP(B45,'[1]Wages Sheet'!$B$8:$AF$192,31,FALSE)</f>
        <v>0</v>
      </c>
    </row>
    <row r="46" spans="1:19" x14ac:dyDescent="0.3">
      <c r="A46" s="8" t="s">
        <v>13</v>
      </c>
      <c r="B46" s="9" t="s">
        <v>127</v>
      </c>
      <c r="C46" s="9" t="s">
        <v>64</v>
      </c>
      <c r="D46" s="9" t="s">
        <v>110</v>
      </c>
      <c r="E46" s="9" t="s">
        <v>128</v>
      </c>
      <c r="F46" s="10">
        <v>30</v>
      </c>
      <c r="G46" s="10">
        <v>22</v>
      </c>
      <c r="H46" s="10">
        <v>8</v>
      </c>
      <c r="I46" s="10">
        <f>VLOOKUP(B46,'[1]Wages Sheet'!$B$8:$J$192,9,FALSE)</f>
        <v>-4</v>
      </c>
      <c r="J46" s="10">
        <f>SUM(VLOOKUP(B46,'[1]Wages Sheet'!$B$8:$K$192,10,FALSE)+(VLOOKUP(B46,'[1]Wages Sheet'!$B$8:$L$192,11,FALSE)))</f>
        <v>5</v>
      </c>
      <c r="K46" s="10">
        <f>VLOOKUP(B46,'[1]Wages Sheet'!$B$8:$O$192,14,FALSE)</f>
        <v>5</v>
      </c>
      <c r="L46" s="10">
        <f>VLOOKUP(B46,'[1]Wages Sheet'!$B$8:$Q$192,16,FALSE)</f>
        <v>0</v>
      </c>
      <c r="M46" s="11">
        <f>VLOOKUP(B46,'[1]Wages Sheet'!$B$8:$T$193,19,FALSE)</f>
        <v>19500</v>
      </c>
      <c r="N46" s="11">
        <f>VLOOKUP(B46,'[1]Wages Sheet'!$B$8:$U$192,20,FALSE)</f>
        <v>17550</v>
      </c>
      <c r="O46" s="11">
        <f>VLOOKUP(B46,'[1]Wages Sheet'!$B$8:$W$192,22,FALSE)</f>
        <v>18243.907834101385</v>
      </c>
      <c r="P46" s="11">
        <f>VLOOKUP(B46,'[1]Wages Sheet'!$B$8:$Z$192,25,FALSE)</f>
        <v>0</v>
      </c>
      <c r="Q46" s="11">
        <f>VLOOKUP(B46,'[1]Wages Sheet'!$B$8:$AD$192,28,FALSE)</f>
        <v>-693.90783410138465</v>
      </c>
      <c r="R46" s="11">
        <f>VLOOKUP(B46,'[1]Wages Sheet'!$B$8:$AD$192,29,FALSE)</f>
        <v>0</v>
      </c>
      <c r="S46" s="11">
        <f>VLOOKUP(B46,'[1]Wages Sheet'!$B$8:$AF$192,31,FALSE)</f>
        <v>-693.90783410138465</v>
      </c>
    </row>
    <row r="47" spans="1:19" x14ac:dyDescent="0.3">
      <c r="A47" s="8" t="s">
        <v>13</v>
      </c>
      <c r="B47" s="9" t="s">
        <v>129</v>
      </c>
      <c r="C47" s="9" t="s">
        <v>54</v>
      </c>
      <c r="D47" s="9" t="s">
        <v>130</v>
      </c>
      <c r="E47" s="9"/>
      <c r="F47" s="10">
        <v>30</v>
      </c>
      <c r="G47" s="10">
        <v>0</v>
      </c>
      <c r="H47" s="10">
        <v>30</v>
      </c>
      <c r="I47" s="10">
        <f>VLOOKUP(B47,'[1]Wages Sheet'!$B$8:$J$192,9,FALSE)</f>
        <v>0</v>
      </c>
      <c r="J47" s="10">
        <f>SUM(VLOOKUP(B47,'[1]Wages Sheet'!$B$8:$K$192,10,FALSE)+(VLOOKUP(B47,'[1]Wages Sheet'!$B$8:$L$192,11,FALSE)))</f>
        <v>0</v>
      </c>
      <c r="K47" s="10">
        <f>VLOOKUP(B47,'[1]Wages Sheet'!$B$8:$O$192,14,FALSE)</f>
        <v>0</v>
      </c>
      <c r="L47" s="10">
        <f>VLOOKUP(B47,'[1]Wages Sheet'!$B$8:$Q$192,16,FALSE)</f>
        <v>0</v>
      </c>
      <c r="M47" s="11">
        <f>VLOOKUP(B47,'[1]Wages Sheet'!$B$8:$T$193,19,FALSE)</f>
        <v>11000</v>
      </c>
      <c r="N47" s="11">
        <f>VLOOKUP(B47,'[1]Wages Sheet'!$B$8:$U$192,20,FALSE)</f>
        <v>0</v>
      </c>
      <c r="O47" s="11">
        <f>VLOOKUP(B47,'[1]Wages Sheet'!$B$8:$W$192,22,FALSE)</f>
        <v>0</v>
      </c>
      <c r="P47" s="11">
        <f>VLOOKUP(B47,'[1]Wages Sheet'!$B$8:$Z$192,25,FALSE)</f>
        <v>12832.333333333334</v>
      </c>
      <c r="Q47" s="11">
        <f>VLOOKUP(B47,'[1]Wages Sheet'!$B$8:$AD$192,28,FALSE)</f>
        <v>12832.333333333334</v>
      </c>
      <c r="R47" s="11">
        <f>VLOOKUP(B47,'[1]Wages Sheet'!$B$8:$AD$192,29,FALSE)</f>
        <v>0</v>
      </c>
      <c r="S47" s="11">
        <f>VLOOKUP(B47,'[1]Wages Sheet'!$B$8:$AF$192,31,FALSE)</f>
        <v>12832.333333333334</v>
      </c>
    </row>
    <row r="48" spans="1:19" x14ac:dyDescent="0.3">
      <c r="A48" s="8" t="s">
        <v>13</v>
      </c>
      <c r="B48" s="9" t="s">
        <v>340</v>
      </c>
      <c r="C48" s="9" t="s">
        <v>54</v>
      </c>
      <c r="D48" s="9" t="s">
        <v>132</v>
      </c>
      <c r="E48" s="9"/>
      <c r="F48" s="10">
        <v>30</v>
      </c>
      <c r="G48" s="10">
        <v>0</v>
      </c>
      <c r="H48" s="10">
        <v>30</v>
      </c>
      <c r="I48" s="10">
        <f>VLOOKUP(B48,'[1]Wages Sheet'!$B$8:$J$192,9,FALSE)</f>
        <v>0</v>
      </c>
      <c r="J48" s="10">
        <f>SUM(VLOOKUP(B48,'[1]Wages Sheet'!$B$8:$K$192,10,FALSE)+(VLOOKUP(B48,'[1]Wages Sheet'!$B$8:$L$192,11,FALSE)))</f>
        <v>0</v>
      </c>
      <c r="K48" s="10">
        <f>VLOOKUP(B48,'[1]Wages Sheet'!$B$8:$O$192,14,FALSE)</f>
        <v>0</v>
      </c>
      <c r="L48" s="10">
        <f>VLOOKUP(B48,'[1]Wages Sheet'!$B$8:$Q$192,16,FALSE)</f>
        <v>0</v>
      </c>
      <c r="M48" s="11">
        <f>VLOOKUP(B48,'[1]Wages Sheet'!$B$8:$T$193,19,FALSE)</f>
        <v>11000</v>
      </c>
      <c r="N48" s="11">
        <f>VLOOKUP(B48,'[1]Wages Sheet'!$B$8:$U$192,20,FALSE)</f>
        <v>0</v>
      </c>
      <c r="O48" s="11">
        <f>VLOOKUP(B48,'[1]Wages Sheet'!$B$8:$W$192,22,FALSE)</f>
        <v>0</v>
      </c>
      <c r="P48" s="11">
        <f>VLOOKUP(B48,'[1]Wages Sheet'!$B$8:$Z$192,25,FALSE)</f>
        <v>13.978494623655934</v>
      </c>
      <c r="Q48" s="11">
        <f>VLOOKUP(B48,'[1]Wages Sheet'!$B$8:$AD$192,28,FALSE)</f>
        <v>13.978494623655934</v>
      </c>
      <c r="R48" s="11">
        <f>VLOOKUP(B48,'[1]Wages Sheet'!$B$8:$AD$192,29,FALSE)</f>
        <v>0</v>
      </c>
      <c r="S48" s="11">
        <f>VLOOKUP(B48,'[1]Wages Sheet'!$B$8:$AF$192,31,FALSE)</f>
        <v>13.978494623655934</v>
      </c>
    </row>
    <row r="49" spans="1:19" x14ac:dyDescent="0.3">
      <c r="A49" s="8" t="s">
        <v>13</v>
      </c>
      <c r="B49" s="9" t="s">
        <v>133</v>
      </c>
      <c r="C49" s="9" t="s">
        <v>64</v>
      </c>
      <c r="D49" s="9" t="s">
        <v>110</v>
      </c>
      <c r="E49" s="9" t="s">
        <v>134</v>
      </c>
      <c r="F49" s="10">
        <v>30</v>
      </c>
      <c r="G49" s="10">
        <v>25</v>
      </c>
      <c r="H49" s="10">
        <v>5</v>
      </c>
      <c r="I49" s="10">
        <f>VLOOKUP(B49,'[1]Wages Sheet'!$B$8:$J$192,9,FALSE)</f>
        <v>-4</v>
      </c>
      <c r="J49" s="10">
        <f>SUM(VLOOKUP(B49,'[1]Wages Sheet'!$B$8:$K$192,10,FALSE)+(VLOOKUP(B49,'[1]Wages Sheet'!$B$8:$L$192,11,FALSE)))</f>
        <v>4</v>
      </c>
      <c r="K49" s="10">
        <f>VLOOKUP(B49,'[1]Wages Sheet'!$B$8:$O$192,14,FALSE)</f>
        <v>4</v>
      </c>
      <c r="L49" s="10">
        <f>VLOOKUP(B49,'[1]Wages Sheet'!$B$8:$Q$192,16,FALSE)</f>
        <v>0</v>
      </c>
      <c r="M49" s="11">
        <f>VLOOKUP(B49,'[1]Wages Sheet'!$B$8:$T$193,19,FALSE)</f>
        <v>19000</v>
      </c>
      <c r="N49" s="11">
        <f>VLOOKUP(B49,'[1]Wages Sheet'!$B$8:$U$192,20,FALSE)</f>
        <v>18366.666666666668</v>
      </c>
      <c r="O49" s="11">
        <f>VLOOKUP(B49,'[1]Wages Sheet'!$B$8:$W$192,22,FALSE)</f>
        <v>0</v>
      </c>
      <c r="P49" s="11">
        <f>VLOOKUP(B49,'[1]Wages Sheet'!$B$8:$Z$192,25,FALSE)</f>
        <v>15551.924731182795</v>
      </c>
      <c r="Q49" s="11">
        <f>VLOOKUP(B49,'[1]Wages Sheet'!$B$8:$AD$192,28,FALSE)</f>
        <v>33918.591397849465</v>
      </c>
      <c r="R49" s="11">
        <f>VLOOKUP(B49,'[1]Wages Sheet'!$B$8:$AD$192,29,FALSE)</f>
        <v>33920</v>
      </c>
      <c r="S49" s="11">
        <f>VLOOKUP(B49,'[1]Wages Sheet'!$B$8:$AF$192,31,FALSE)</f>
        <v>-1.4086021505354438</v>
      </c>
    </row>
    <row r="50" spans="1:19" x14ac:dyDescent="0.3">
      <c r="A50" s="8" t="s">
        <v>13</v>
      </c>
      <c r="B50" s="9" t="s">
        <v>135</v>
      </c>
      <c r="C50" s="9" t="s">
        <v>54</v>
      </c>
      <c r="D50" s="9" t="s">
        <v>58</v>
      </c>
      <c r="E50" s="9"/>
      <c r="F50" s="10">
        <v>30</v>
      </c>
      <c r="G50" s="10">
        <v>0</v>
      </c>
      <c r="H50" s="10">
        <v>30</v>
      </c>
      <c r="I50" s="10">
        <f>VLOOKUP(B50,'[1]Wages Sheet'!$B$8:$J$192,9,FALSE)</f>
        <v>0</v>
      </c>
      <c r="J50" s="10">
        <f>SUM(VLOOKUP(B50,'[1]Wages Sheet'!$B$8:$K$192,10,FALSE)+(VLOOKUP(B50,'[1]Wages Sheet'!$B$8:$L$192,11,FALSE)))</f>
        <v>0</v>
      </c>
      <c r="K50" s="10">
        <f>VLOOKUP(B50,'[1]Wages Sheet'!$B$8:$O$192,14,FALSE)</f>
        <v>0</v>
      </c>
      <c r="L50" s="10">
        <f>VLOOKUP(B50,'[1]Wages Sheet'!$B$8:$Q$192,16,FALSE)</f>
        <v>0</v>
      </c>
      <c r="M50" s="11">
        <f>VLOOKUP(B50,'[1]Wages Sheet'!$B$8:$T$193,19,FALSE)</f>
        <v>9500</v>
      </c>
      <c r="N50" s="11">
        <f>VLOOKUP(B50,'[1]Wages Sheet'!$B$8:$U$192,20,FALSE)</f>
        <v>0</v>
      </c>
      <c r="O50" s="11">
        <f>VLOOKUP(B50,'[1]Wages Sheet'!$B$8:$W$192,22,FALSE)</f>
        <v>0</v>
      </c>
      <c r="P50" s="11">
        <f>VLOOKUP(B50,'[1]Wages Sheet'!$B$8:$Z$192,25,FALSE)</f>
        <v>0</v>
      </c>
      <c r="Q50" s="11">
        <f>VLOOKUP(B50,'[1]Wages Sheet'!$B$8:$AD$192,28,FALSE)</f>
        <v>0</v>
      </c>
      <c r="R50" s="11">
        <f>VLOOKUP(B50,'[1]Wages Sheet'!$B$8:$AD$192,29,FALSE)</f>
        <v>0</v>
      </c>
      <c r="S50" s="11">
        <f>VLOOKUP(B50,'[1]Wages Sheet'!$B$8:$AF$192,31,FALSE)</f>
        <v>0</v>
      </c>
    </row>
    <row r="51" spans="1:19" x14ac:dyDescent="0.3">
      <c r="A51" s="8" t="s">
        <v>13</v>
      </c>
      <c r="B51" s="9" t="s">
        <v>136</v>
      </c>
      <c r="C51" s="9" t="s">
        <v>64</v>
      </c>
      <c r="D51" s="9" t="s">
        <v>55</v>
      </c>
      <c r="E51" s="9" t="s">
        <v>97</v>
      </c>
      <c r="F51" s="10">
        <v>30</v>
      </c>
      <c r="G51" s="10">
        <v>26</v>
      </c>
      <c r="H51" s="10">
        <v>4</v>
      </c>
      <c r="I51" s="10">
        <f>VLOOKUP(B51,'[1]Wages Sheet'!$B$8:$J$192,9,FALSE)</f>
        <v>4</v>
      </c>
      <c r="J51" s="10">
        <f>SUM(VLOOKUP(B51,'[1]Wages Sheet'!$B$8:$K$192,10,FALSE)+(VLOOKUP(B51,'[1]Wages Sheet'!$B$8:$L$192,11,FALSE)))</f>
        <v>4</v>
      </c>
      <c r="K51" s="10">
        <f>VLOOKUP(B51,'[1]Wages Sheet'!$B$8:$O$192,14,FALSE)</f>
        <v>0</v>
      </c>
      <c r="L51" s="10">
        <f>VLOOKUP(B51,'[1]Wages Sheet'!$B$8:$Q$192,16,FALSE)</f>
        <v>4</v>
      </c>
      <c r="M51" s="11">
        <f>VLOOKUP(B51,'[1]Wages Sheet'!$B$8:$T$193,19,FALSE)</f>
        <v>14000</v>
      </c>
      <c r="N51" s="11">
        <f>VLOOKUP(B51,'[1]Wages Sheet'!$B$8:$U$192,20,FALSE)</f>
        <v>14000</v>
      </c>
      <c r="O51" s="11">
        <f>VLOOKUP(B51,'[1]Wages Sheet'!$B$8:$W$192,22,FALSE)</f>
        <v>0</v>
      </c>
      <c r="P51" s="11">
        <f>VLOOKUP(B51,'[1]Wages Sheet'!$B$8:$Z$192,25,FALSE)</f>
        <v>9599.6666666666679</v>
      </c>
      <c r="Q51" s="11">
        <f>VLOOKUP(B51,'[1]Wages Sheet'!$B$8:$AD$192,28,FALSE)</f>
        <v>23599.666666666668</v>
      </c>
      <c r="R51" s="11">
        <f>VLOOKUP(B51,'[1]Wages Sheet'!$B$8:$AD$192,29,FALSE)</f>
        <v>23600</v>
      </c>
      <c r="S51" s="11">
        <f>VLOOKUP(B51,'[1]Wages Sheet'!$B$8:$AF$192,31,FALSE)</f>
        <v>-0.33333333333212067</v>
      </c>
    </row>
    <row r="52" spans="1:19" x14ac:dyDescent="0.3">
      <c r="A52" s="8" t="s">
        <v>13</v>
      </c>
      <c r="B52" s="9" t="s">
        <v>137</v>
      </c>
      <c r="C52" s="9" t="s">
        <v>54</v>
      </c>
      <c r="D52" s="9" t="s">
        <v>100</v>
      </c>
      <c r="E52" s="9" t="s">
        <v>56</v>
      </c>
      <c r="F52" s="10">
        <v>30</v>
      </c>
      <c r="G52" s="10">
        <v>28</v>
      </c>
      <c r="H52" s="10">
        <v>2</v>
      </c>
      <c r="I52" s="10">
        <f>VLOOKUP(B52,'[1]Wages Sheet'!$B$8:$J$192,9,FALSE)</f>
        <v>0</v>
      </c>
      <c r="J52" s="10">
        <f>SUM(VLOOKUP(B52,'[1]Wages Sheet'!$B$8:$K$192,10,FALSE)+(VLOOKUP(B52,'[1]Wages Sheet'!$B$8:$L$192,11,FALSE)))</f>
        <v>0</v>
      </c>
      <c r="K52" s="10">
        <f>VLOOKUP(B52,'[1]Wages Sheet'!$B$8:$O$192,14,FALSE)</f>
        <v>0</v>
      </c>
      <c r="L52" s="10">
        <f>VLOOKUP(B52,'[1]Wages Sheet'!$B$8:$Q$192,16,FALSE)</f>
        <v>0</v>
      </c>
      <c r="M52" s="11">
        <f>VLOOKUP(B52,'[1]Wages Sheet'!$B$8:$T$193,19,FALSE)</f>
        <v>9000</v>
      </c>
      <c r="N52" s="11">
        <f>VLOOKUP(B52,'[1]Wages Sheet'!$B$8:$U$192,20,FALSE)</f>
        <v>8400</v>
      </c>
      <c r="O52" s="11">
        <f>VLOOKUP(B52,'[1]Wages Sheet'!$B$8:$W$192,22,FALSE)</f>
        <v>0</v>
      </c>
      <c r="P52" s="11">
        <f>VLOOKUP(B52,'[1]Wages Sheet'!$B$8:$Z$192,25,FALSE)</f>
        <v>9000.3133640552987</v>
      </c>
      <c r="Q52" s="11">
        <f>VLOOKUP(B52,'[1]Wages Sheet'!$B$8:$AD$192,28,FALSE)</f>
        <v>17400.313364055299</v>
      </c>
      <c r="R52" s="11">
        <f>VLOOKUP(B52,'[1]Wages Sheet'!$B$8:$AD$192,29,FALSE)</f>
        <v>17401</v>
      </c>
      <c r="S52" s="11">
        <f>VLOOKUP(B52,'[1]Wages Sheet'!$B$8:$AF$192,31,FALSE)</f>
        <v>-0.68663594470126554</v>
      </c>
    </row>
    <row r="53" spans="1:19" x14ac:dyDescent="0.3">
      <c r="A53" s="8" t="s">
        <v>13</v>
      </c>
      <c r="B53" s="9" t="s">
        <v>138</v>
      </c>
      <c r="C53" s="9" t="s">
        <v>54</v>
      </c>
      <c r="D53" s="9" t="s">
        <v>62</v>
      </c>
      <c r="E53" s="9"/>
      <c r="F53" s="10">
        <v>30</v>
      </c>
      <c r="G53" s="10">
        <v>0</v>
      </c>
      <c r="H53" s="10">
        <v>30</v>
      </c>
      <c r="I53" s="10">
        <f>VLOOKUP(B53,'[1]Wages Sheet'!$B$8:$J$192,9,FALSE)</f>
        <v>0</v>
      </c>
      <c r="J53" s="10">
        <f>SUM(VLOOKUP(B53,'[1]Wages Sheet'!$B$8:$K$192,10,FALSE)+(VLOOKUP(B53,'[1]Wages Sheet'!$B$8:$L$192,11,FALSE)))</f>
        <v>0</v>
      </c>
      <c r="K53" s="10">
        <f>VLOOKUP(B53,'[1]Wages Sheet'!$B$8:$O$192,14,FALSE)</f>
        <v>0</v>
      </c>
      <c r="L53" s="10">
        <f>VLOOKUP(B53,'[1]Wages Sheet'!$B$8:$Q$192,16,FALSE)</f>
        <v>0</v>
      </c>
      <c r="M53" s="11">
        <f>VLOOKUP(B53,'[1]Wages Sheet'!$B$8:$T$193,19,FALSE)</f>
        <v>16000</v>
      </c>
      <c r="N53" s="11">
        <f>VLOOKUP(B53,'[1]Wages Sheet'!$B$8:$U$192,20,FALSE)</f>
        <v>0</v>
      </c>
      <c r="O53" s="11">
        <f>VLOOKUP(B53,'[1]Wages Sheet'!$B$8:$W$192,22,FALSE)</f>
        <v>0</v>
      </c>
      <c r="P53" s="11">
        <f>VLOOKUP(B53,'[1]Wages Sheet'!$B$8:$Z$192,25,FALSE)</f>
        <v>0</v>
      </c>
      <c r="Q53" s="11">
        <f>VLOOKUP(B53,'[1]Wages Sheet'!$B$8:$AD$192,28,FALSE)</f>
        <v>0</v>
      </c>
      <c r="R53" s="11">
        <f>VLOOKUP(B53,'[1]Wages Sheet'!$B$8:$AD$192,29,FALSE)</f>
        <v>0</v>
      </c>
      <c r="S53" s="11">
        <f>VLOOKUP(B53,'[1]Wages Sheet'!$B$8:$AF$192,31,FALSE)</f>
        <v>0</v>
      </c>
    </row>
    <row r="54" spans="1:19" x14ac:dyDescent="0.3">
      <c r="A54" s="8" t="s">
        <v>13</v>
      </c>
      <c r="B54" s="9" t="s">
        <v>139</v>
      </c>
      <c r="C54" s="9" t="s">
        <v>64</v>
      </c>
      <c r="D54" s="9" t="s">
        <v>140</v>
      </c>
      <c r="E54" s="9" t="s">
        <v>84</v>
      </c>
      <c r="F54" s="10">
        <v>30</v>
      </c>
      <c r="G54" s="10">
        <v>25</v>
      </c>
      <c r="H54" s="10">
        <v>5</v>
      </c>
      <c r="I54" s="10">
        <f>VLOOKUP(B54,'[1]Wages Sheet'!$B$8:$J$192,9,FALSE)</f>
        <v>3</v>
      </c>
      <c r="J54" s="10">
        <f>SUM(VLOOKUP(B54,'[1]Wages Sheet'!$B$8:$K$192,10,FALSE)+(VLOOKUP(B54,'[1]Wages Sheet'!$B$8:$L$192,11,FALSE)))</f>
        <v>4</v>
      </c>
      <c r="K54" s="10">
        <f>VLOOKUP(B54,'[1]Wages Sheet'!$B$8:$O$192,14,FALSE)</f>
        <v>5</v>
      </c>
      <c r="L54" s="10">
        <f>VLOOKUP(B54,'[1]Wages Sheet'!$B$8:$Q$192,16,FALSE)</f>
        <v>2</v>
      </c>
      <c r="M54" s="11">
        <f>VLOOKUP(B54,'[1]Wages Sheet'!$B$8:$T$193,19,FALSE)</f>
        <v>16000</v>
      </c>
      <c r="N54" s="11">
        <f>VLOOKUP(B54,'[1]Wages Sheet'!$B$8:$U$192,20,FALSE)</f>
        <v>16000.000000000002</v>
      </c>
      <c r="O54" s="11">
        <f>VLOOKUP(B54,'[1]Wages Sheet'!$B$8:$W$192,22,FALSE)</f>
        <v>0</v>
      </c>
      <c r="P54" s="11">
        <f>VLOOKUP(B54,'[1]Wages Sheet'!$B$8:$Z$192,25,FALSE)</f>
        <v>1.8189894035458565E-12</v>
      </c>
      <c r="Q54" s="11">
        <f>VLOOKUP(B54,'[1]Wages Sheet'!$B$8:$AD$192,28,FALSE)</f>
        <v>16000.000000000004</v>
      </c>
      <c r="R54" s="11">
        <f>VLOOKUP(B54,'[1]Wages Sheet'!$B$8:$AD$192,29,FALSE)</f>
        <v>19000</v>
      </c>
      <c r="S54" s="11">
        <f>VLOOKUP(B54,'[1]Wages Sheet'!$B$8:$AF$192,31,FALSE)</f>
        <v>-2999.9999999999964</v>
      </c>
    </row>
    <row r="55" spans="1:19" x14ac:dyDescent="0.3">
      <c r="A55" s="8" t="s">
        <v>13</v>
      </c>
      <c r="B55" s="9" t="s">
        <v>141</v>
      </c>
      <c r="C55" s="9" t="s">
        <v>64</v>
      </c>
      <c r="D55" s="9" t="s">
        <v>62</v>
      </c>
      <c r="E55" s="9" t="s">
        <v>97</v>
      </c>
      <c r="F55" s="10">
        <v>30</v>
      </c>
      <c r="G55" s="10">
        <v>17</v>
      </c>
      <c r="H55" s="10">
        <v>13</v>
      </c>
      <c r="I55" s="10">
        <f>VLOOKUP(B55,'[1]Wages Sheet'!$B$8:$J$192,9,FALSE)</f>
        <v>1</v>
      </c>
      <c r="J55" s="10">
        <f>SUM(VLOOKUP(B55,'[1]Wages Sheet'!$B$8:$K$192,10,FALSE)+(VLOOKUP(B55,'[1]Wages Sheet'!$B$8:$L$192,11,FALSE)))</f>
        <v>2</v>
      </c>
      <c r="K55" s="10">
        <f>VLOOKUP(B55,'[1]Wages Sheet'!$B$8:$O$192,14,FALSE)</f>
        <v>0</v>
      </c>
      <c r="L55" s="10">
        <f>VLOOKUP(B55,'[1]Wages Sheet'!$B$8:$Q$192,16,FALSE)</f>
        <v>0</v>
      </c>
      <c r="M55" s="11">
        <f>VLOOKUP(B55,'[1]Wages Sheet'!$B$8:$T$193,19,FALSE)</f>
        <v>16000</v>
      </c>
      <c r="N55" s="11">
        <f>VLOOKUP(B55,'[1]Wages Sheet'!$B$8:$U$192,20,FALSE)</f>
        <v>10666.666666666668</v>
      </c>
      <c r="O55" s="11">
        <f>VLOOKUP(B55,'[1]Wages Sheet'!$B$8:$W$192,22,FALSE)</f>
        <v>0</v>
      </c>
      <c r="P55" s="11">
        <f>VLOOKUP(B55,'[1]Wages Sheet'!$B$8:$Z$192,25,FALSE)</f>
        <v>15290.322580645159</v>
      </c>
      <c r="Q55" s="11">
        <f>VLOOKUP(B55,'[1]Wages Sheet'!$B$8:$AD$192,28,FALSE)</f>
        <v>25956.989247311827</v>
      </c>
      <c r="R55" s="11">
        <f>VLOOKUP(B55,'[1]Wages Sheet'!$B$8:$AD$192,29,FALSE)</f>
        <v>26000</v>
      </c>
      <c r="S55" s="11">
        <f>VLOOKUP(B55,'[1]Wages Sheet'!$B$8:$AF$192,31,FALSE)</f>
        <v>-43.010752688172943</v>
      </c>
    </row>
    <row r="56" spans="1:19" x14ac:dyDescent="0.3">
      <c r="A56" s="8" t="s">
        <v>13</v>
      </c>
      <c r="B56" s="9" t="s">
        <v>142</v>
      </c>
      <c r="C56" s="9" t="s">
        <v>54</v>
      </c>
      <c r="D56" s="9" t="s">
        <v>69</v>
      </c>
      <c r="E56" s="9" t="s">
        <v>56</v>
      </c>
      <c r="F56" s="10">
        <v>30</v>
      </c>
      <c r="G56" s="10">
        <v>27</v>
      </c>
      <c r="H56" s="10">
        <v>3</v>
      </c>
      <c r="I56" s="10">
        <f>VLOOKUP(B56,'[1]Wages Sheet'!$B$8:$J$192,9,FALSE)</f>
        <v>-2</v>
      </c>
      <c r="J56" s="10">
        <f>SUM(VLOOKUP(B56,'[1]Wages Sheet'!$B$8:$K$192,10,FALSE)+(VLOOKUP(B56,'[1]Wages Sheet'!$B$8:$L$192,11,FALSE)))</f>
        <v>4</v>
      </c>
      <c r="K56" s="10">
        <f>VLOOKUP(B56,'[1]Wages Sheet'!$B$8:$O$192,14,FALSE)</f>
        <v>3</v>
      </c>
      <c r="L56" s="10">
        <f>VLOOKUP(B56,'[1]Wages Sheet'!$B$8:$Q$192,16,FALSE)</f>
        <v>1</v>
      </c>
      <c r="M56" s="11">
        <f>VLOOKUP(B56,'[1]Wages Sheet'!$B$8:$T$193,19,FALSE)</f>
        <v>9500</v>
      </c>
      <c r="N56" s="11">
        <f>VLOOKUP(B56,'[1]Wages Sheet'!$B$8:$U$192,20,FALSE)</f>
        <v>9500</v>
      </c>
      <c r="O56" s="11">
        <f>VLOOKUP(B56,'[1]Wages Sheet'!$B$8:$W$192,22,FALSE)</f>
        <v>0</v>
      </c>
      <c r="P56" s="11">
        <f>VLOOKUP(B56,'[1]Wages Sheet'!$B$8:$Z$192,25,FALSE)</f>
        <v>7661.043010752689</v>
      </c>
      <c r="Q56" s="11">
        <f>VLOOKUP(B56,'[1]Wages Sheet'!$B$8:$AD$192,28,FALSE)</f>
        <v>17161.043010752688</v>
      </c>
      <c r="R56" s="11">
        <f>VLOOKUP(B56,'[1]Wages Sheet'!$B$8:$AD$192,29,FALSE)</f>
        <v>17161</v>
      </c>
      <c r="S56" s="11">
        <f>VLOOKUP(B56,'[1]Wages Sheet'!$B$8:$AF$192,31,FALSE)</f>
        <v>4.3010752688132925E-2</v>
      </c>
    </row>
    <row r="57" spans="1:19" x14ac:dyDescent="0.3">
      <c r="A57" s="8" t="s">
        <v>13</v>
      </c>
      <c r="B57" s="9" t="s">
        <v>143</v>
      </c>
      <c r="C57" s="9" t="s">
        <v>54</v>
      </c>
      <c r="D57" s="9" t="s">
        <v>62</v>
      </c>
      <c r="E57" s="9" t="s">
        <v>144</v>
      </c>
      <c r="F57" s="10">
        <v>30</v>
      </c>
      <c r="G57" s="10">
        <v>27</v>
      </c>
      <c r="H57" s="10">
        <v>3</v>
      </c>
      <c r="I57" s="10">
        <f>VLOOKUP(B57,'[1]Wages Sheet'!$B$8:$J$192,9,FALSE)</f>
        <v>-3</v>
      </c>
      <c r="J57" s="10">
        <f>SUM(VLOOKUP(B57,'[1]Wages Sheet'!$B$8:$K$192,10,FALSE)+(VLOOKUP(B57,'[1]Wages Sheet'!$B$8:$L$192,11,FALSE)))</f>
        <v>4</v>
      </c>
      <c r="K57" s="10">
        <f>VLOOKUP(B57,'[1]Wages Sheet'!$B$8:$O$192,14,FALSE)</f>
        <v>3</v>
      </c>
      <c r="L57" s="10">
        <f>VLOOKUP(B57,'[1]Wages Sheet'!$B$8:$Q$192,16,FALSE)</f>
        <v>1</v>
      </c>
      <c r="M57" s="11">
        <f>VLOOKUP(B57,'[1]Wages Sheet'!$B$8:$T$193,19,FALSE)</f>
        <v>16000</v>
      </c>
      <c r="N57" s="11">
        <f>VLOOKUP(B57,'[1]Wages Sheet'!$B$8:$U$192,20,FALSE)</f>
        <v>16000.000000000002</v>
      </c>
      <c r="O57" s="11">
        <f>VLOOKUP(B57,'[1]Wages Sheet'!$B$8:$W$192,22,FALSE)</f>
        <v>0</v>
      </c>
      <c r="P57" s="11">
        <f>VLOOKUP(B57,'[1]Wages Sheet'!$B$8:$Z$192,25,FALSE)</f>
        <v>14983.870967741939</v>
      </c>
      <c r="Q57" s="11">
        <f>VLOOKUP(B57,'[1]Wages Sheet'!$B$8:$AD$192,28,FALSE)</f>
        <v>30983.870967741939</v>
      </c>
      <c r="R57" s="11">
        <f>VLOOKUP(B57,'[1]Wages Sheet'!$B$8:$AD$192,29,FALSE)</f>
        <v>31000</v>
      </c>
      <c r="S57" s="11">
        <f>VLOOKUP(B57,'[1]Wages Sheet'!$B$8:$AF$192,31,FALSE)</f>
        <v>-16.129032258060761</v>
      </c>
    </row>
    <row r="58" spans="1:19" x14ac:dyDescent="0.3">
      <c r="A58" s="8" t="s">
        <v>13</v>
      </c>
      <c r="B58" s="9" t="s">
        <v>145</v>
      </c>
      <c r="C58" s="9" t="s">
        <v>54</v>
      </c>
      <c r="D58" s="9" t="s">
        <v>146</v>
      </c>
      <c r="E58" s="9"/>
      <c r="F58" s="10">
        <v>30</v>
      </c>
      <c r="G58" s="10">
        <v>0</v>
      </c>
      <c r="H58" s="10">
        <v>30</v>
      </c>
      <c r="I58" s="10">
        <f>VLOOKUP(B58,'[1]Wages Sheet'!$B$8:$J$192,9,FALSE)</f>
        <v>0</v>
      </c>
      <c r="J58" s="10">
        <f>SUM(VLOOKUP(B58,'[1]Wages Sheet'!$B$8:$K$192,10,FALSE)+(VLOOKUP(B58,'[1]Wages Sheet'!$B$8:$L$192,11,FALSE)))</f>
        <v>0</v>
      </c>
      <c r="K58" s="10">
        <f>VLOOKUP(B58,'[1]Wages Sheet'!$B$8:$O$192,14,FALSE)</f>
        <v>0</v>
      </c>
      <c r="L58" s="10">
        <f>VLOOKUP(B58,'[1]Wages Sheet'!$B$8:$Q$192,16,FALSE)</f>
        <v>0</v>
      </c>
      <c r="M58" s="11">
        <f>VLOOKUP(B58,'[1]Wages Sheet'!$B$8:$T$193,19,FALSE)</f>
        <v>17000</v>
      </c>
      <c r="N58" s="11">
        <f>VLOOKUP(B58,'[1]Wages Sheet'!$B$8:$U$192,20,FALSE)</f>
        <v>0</v>
      </c>
      <c r="O58" s="11">
        <f>VLOOKUP(B58,'[1]Wages Sheet'!$B$8:$W$192,22,FALSE)</f>
        <v>0</v>
      </c>
      <c r="P58" s="11">
        <f>VLOOKUP(B58,'[1]Wages Sheet'!$B$8:$Z$192,25,FALSE)</f>
        <v>5009.0967741935483</v>
      </c>
      <c r="Q58" s="11">
        <f>VLOOKUP(B58,'[1]Wages Sheet'!$B$8:$AD$192,28,FALSE)</f>
        <v>5009.0967741935483</v>
      </c>
      <c r="R58" s="11">
        <f>VLOOKUP(B58,'[1]Wages Sheet'!$B$8:$AD$192,29,FALSE)</f>
        <v>0</v>
      </c>
      <c r="S58" s="11">
        <f>VLOOKUP(B58,'[1]Wages Sheet'!$B$8:$AF$192,31,FALSE)</f>
        <v>5009.0967741935483</v>
      </c>
    </row>
    <row r="59" spans="1:19" x14ac:dyDescent="0.3">
      <c r="A59" s="8" t="s">
        <v>13</v>
      </c>
      <c r="B59" s="9" t="s">
        <v>147</v>
      </c>
      <c r="C59" s="9" t="s">
        <v>54</v>
      </c>
      <c r="D59" s="9" t="s">
        <v>62</v>
      </c>
      <c r="E59" s="9"/>
      <c r="F59" s="10">
        <v>30</v>
      </c>
      <c r="G59" s="10">
        <v>0</v>
      </c>
      <c r="H59" s="10">
        <v>30</v>
      </c>
      <c r="I59" s="10">
        <f>VLOOKUP(B59,'[1]Wages Sheet'!$B$8:$J$192,9,FALSE)</f>
        <v>0</v>
      </c>
      <c r="J59" s="10">
        <f>SUM(VLOOKUP(B59,'[1]Wages Sheet'!$B$8:$K$192,10,FALSE)+(VLOOKUP(B59,'[1]Wages Sheet'!$B$8:$L$192,11,FALSE)))</f>
        <v>0</v>
      </c>
      <c r="K59" s="10">
        <f>VLOOKUP(B59,'[1]Wages Sheet'!$B$8:$O$192,14,FALSE)</f>
        <v>0</v>
      </c>
      <c r="L59" s="10">
        <f>VLOOKUP(B59,'[1]Wages Sheet'!$B$8:$Q$192,16,FALSE)</f>
        <v>0</v>
      </c>
      <c r="M59" s="11">
        <f>VLOOKUP(B59,'[1]Wages Sheet'!$B$8:$T$193,19,FALSE)</f>
        <v>16000</v>
      </c>
      <c r="N59" s="11">
        <f>VLOOKUP(B59,'[1]Wages Sheet'!$B$8:$U$192,20,FALSE)</f>
        <v>0</v>
      </c>
      <c r="O59" s="11">
        <f>VLOOKUP(B59,'[1]Wages Sheet'!$B$8:$W$192,22,FALSE)</f>
        <v>0</v>
      </c>
      <c r="P59" s="11">
        <f>VLOOKUP(B59,'[1]Wages Sheet'!$B$8:$Z$192,25,FALSE)</f>
        <v>10667.282473118281</v>
      </c>
      <c r="Q59" s="11">
        <f>VLOOKUP(B59,'[1]Wages Sheet'!$B$8:$AD$192,28,FALSE)</f>
        <v>10667.282473118281</v>
      </c>
      <c r="R59" s="11">
        <f>VLOOKUP(B59,'[1]Wages Sheet'!$B$8:$AD$192,29,FALSE)</f>
        <v>500</v>
      </c>
      <c r="S59" s="11">
        <f>VLOOKUP(B59,'[1]Wages Sheet'!$B$8:$AF$192,31,FALSE)</f>
        <v>10167.282473118281</v>
      </c>
    </row>
    <row r="60" spans="1:19" x14ac:dyDescent="0.3">
      <c r="A60" s="8" t="s">
        <v>13</v>
      </c>
      <c r="B60" s="9" t="s">
        <v>148</v>
      </c>
      <c r="C60" s="9" t="s">
        <v>64</v>
      </c>
      <c r="D60" s="9" t="s">
        <v>55</v>
      </c>
      <c r="E60" s="9" t="s">
        <v>97</v>
      </c>
      <c r="F60" s="10">
        <v>30</v>
      </c>
      <c r="G60" s="10">
        <v>26</v>
      </c>
      <c r="H60" s="10">
        <v>4</v>
      </c>
      <c r="I60" s="10">
        <f>VLOOKUP(B60,'[1]Wages Sheet'!$B$8:$J$192,9,FALSE)</f>
        <v>2</v>
      </c>
      <c r="J60" s="10">
        <f>SUM(VLOOKUP(B60,'[1]Wages Sheet'!$B$8:$K$192,10,FALSE)+(VLOOKUP(B60,'[1]Wages Sheet'!$B$8:$L$192,11,FALSE)))</f>
        <v>4</v>
      </c>
      <c r="K60" s="10">
        <f>VLOOKUP(B60,'[1]Wages Sheet'!$B$8:$O$192,14,FALSE)</f>
        <v>0</v>
      </c>
      <c r="L60" s="10">
        <f>VLOOKUP(B60,'[1]Wages Sheet'!$B$8:$Q$192,16,FALSE)</f>
        <v>2</v>
      </c>
      <c r="M60" s="11">
        <f>VLOOKUP(B60,'[1]Wages Sheet'!$B$8:$T$193,19,FALSE)</f>
        <v>14500</v>
      </c>
      <c r="N60" s="11">
        <f>VLOOKUP(B60,'[1]Wages Sheet'!$B$8:$U$192,20,FALSE)</f>
        <v>14500</v>
      </c>
      <c r="O60" s="11">
        <f>VLOOKUP(B60,'[1]Wages Sheet'!$B$8:$W$192,22,FALSE)</f>
        <v>0</v>
      </c>
      <c r="P60" s="11">
        <f>VLOOKUP(B60,'[1]Wages Sheet'!$B$8:$Z$192,25,FALSE)</f>
        <v>14480.645161290322</v>
      </c>
      <c r="Q60" s="11">
        <f>VLOOKUP(B60,'[1]Wages Sheet'!$B$8:$AD$192,28,FALSE)</f>
        <v>28980.645161290322</v>
      </c>
      <c r="R60" s="11">
        <f>VLOOKUP(B60,'[1]Wages Sheet'!$B$8:$AD$192,29,FALSE)</f>
        <v>29200</v>
      </c>
      <c r="S60" s="11">
        <f>VLOOKUP(B60,'[1]Wages Sheet'!$B$8:$AF$192,31,FALSE)</f>
        <v>-219.35483870967801</v>
      </c>
    </row>
    <row r="61" spans="1:19" x14ac:dyDescent="0.3">
      <c r="A61" s="8" t="s">
        <v>13</v>
      </c>
      <c r="B61" s="9" t="s">
        <v>149</v>
      </c>
      <c r="C61" s="9" t="s">
        <v>54</v>
      </c>
      <c r="D61" s="9" t="s">
        <v>110</v>
      </c>
      <c r="E61" s="9" t="s">
        <v>56</v>
      </c>
      <c r="F61" s="10">
        <v>30</v>
      </c>
      <c r="G61" s="10">
        <v>17</v>
      </c>
      <c r="H61" s="10">
        <v>13</v>
      </c>
      <c r="I61" s="10">
        <f>VLOOKUP(B61,'[1]Wages Sheet'!$B$8:$J$192,9,FALSE)</f>
        <v>2</v>
      </c>
      <c r="J61" s="10">
        <f>SUM(VLOOKUP(B61,'[1]Wages Sheet'!$B$8:$K$192,10,FALSE)+(VLOOKUP(B61,'[1]Wages Sheet'!$B$8:$L$192,11,FALSE)))</f>
        <v>2</v>
      </c>
      <c r="K61" s="10">
        <f>VLOOKUP(B61,'[1]Wages Sheet'!$B$8:$O$192,14,FALSE)</f>
        <v>4</v>
      </c>
      <c r="L61" s="10">
        <f>VLOOKUP(B61,'[1]Wages Sheet'!$B$8:$Q$192,16,FALSE)</f>
        <v>0</v>
      </c>
      <c r="M61" s="11">
        <f>VLOOKUP(B61,'[1]Wages Sheet'!$B$8:$T$193,19,FALSE)</f>
        <v>18000</v>
      </c>
      <c r="N61" s="11">
        <f>VLOOKUP(B61,'[1]Wages Sheet'!$B$8:$U$192,20,FALSE)</f>
        <v>12600</v>
      </c>
      <c r="O61" s="11">
        <f>VLOOKUP(B61,'[1]Wages Sheet'!$B$8:$W$192,22,FALSE)</f>
        <v>0</v>
      </c>
      <c r="P61" s="11">
        <f>VLOOKUP(B61,'[1]Wages Sheet'!$B$8:$Z$192,25,FALSE)</f>
        <v>3000</v>
      </c>
      <c r="Q61" s="11">
        <f>VLOOKUP(B61,'[1]Wages Sheet'!$B$8:$AD$192,28,FALSE)</f>
        <v>15600</v>
      </c>
      <c r="R61" s="11">
        <f>VLOOKUP(B61,'[1]Wages Sheet'!$B$8:$AD$192,29,FALSE)</f>
        <v>15600</v>
      </c>
      <c r="S61" s="11">
        <f>VLOOKUP(B61,'[1]Wages Sheet'!$B$8:$AF$192,31,FALSE)</f>
        <v>0</v>
      </c>
    </row>
    <row r="62" spans="1:19" x14ac:dyDescent="0.3">
      <c r="A62" s="8" t="s">
        <v>13</v>
      </c>
      <c r="B62" s="9" t="s">
        <v>150</v>
      </c>
      <c r="C62" s="9" t="s">
        <v>64</v>
      </c>
      <c r="D62" s="9" t="s">
        <v>88</v>
      </c>
      <c r="E62" s="9" t="s">
        <v>97</v>
      </c>
      <c r="F62" s="10">
        <v>30</v>
      </c>
      <c r="G62" s="10">
        <v>29</v>
      </c>
      <c r="H62" s="10">
        <v>1</v>
      </c>
      <c r="I62" s="10">
        <f>VLOOKUP(B62,'[1]Wages Sheet'!$B$8:$J$192,9,FALSE)</f>
        <v>8</v>
      </c>
      <c r="J62" s="10">
        <f>SUM(VLOOKUP(B62,'[1]Wages Sheet'!$B$8:$K$192,10,FALSE)+(VLOOKUP(B62,'[1]Wages Sheet'!$B$8:$L$192,11,FALSE)))</f>
        <v>4</v>
      </c>
      <c r="K62" s="10">
        <f>VLOOKUP(B62,'[1]Wages Sheet'!$B$8:$O$192,14,FALSE)</f>
        <v>0</v>
      </c>
      <c r="L62" s="10">
        <f>VLOOKUP(B62,'[1]Wages Sheet'!$B$8:$Q$192,16,FALSE)</f>
        <v>11</v>
      </c>
      <c r="M62" s="11">
        <f>VLOOKUP(B62,'[1]Wages Sheet'!$B$8:$T$193,19,FALSE)</f>
        <v>13500</v>
      </c>
      <c r="N62" s="11">
        <f>VLOOKUP(B62,'[1]Wages Sheet'!$B$8:$U$192,20,FALSE)</f>
        <v>13500</v>
      </c>
      <c r="O62" s="11">
        <f>VLOOKUP(B62,'[1]Wages Sheet'!$B$8:$W$192,22,FALSE)</f>
        <v>46580</v>
      </c>
      <c r="P62" s="11">
        <f>VLOOKUP(B62,'[1]Wages Sheet'!$B$8:$Z$192,25,FALSE)</f>
        <v>0</v>
      </c>
      <c r="Q62" s="11">
        <f>VLOOKUP(B62,'[1]Wages Sheet'!$B$8:$AD$192,28,FALSE)</f>
        <v>-33080</v>
      </c>
      <c r="R62" s="11">
        <f>VLOOKUP(B62,'[1]Wages Sheet'!$B$8:$AD$192,29,FALSE)</f>
        <v>18000</v>
      </c>
      <c r="S62" s="11">
        <f>VLOOKUP(B62,'[1]Wages Sheet'!$B$8:$AF$192,31,FALSE)</f>
        <v>-51080</v>
      </c>
    </row>
    <row r="63" spans="1:19" x14ac:dyDescent="0.3">
      <c r="A63" s="8" t="s">
        <v>13</v>
      </c>
      <c r="B63" s="9" t="s">
        <v>151</v>
      </c>
      <c r="C63" s="9" t="s">
        <v>64</v>
      </c>
      <c r="D63" s="9" t="s">
        <v>62</v>
      </c>
      <c r="E63" s="9" t="s">
        <v>119</v>
      </c>
      <c r="F63" s="10">
        <v>30</v>
      </c>
      <c r="G63" s="10">
        <v>26</v>
      </c>
      <c r="H63" s="10">
        <v>4</v>
      </c>
      <c r="I63" s="10">
        <f>VLOOKUP(B63,'[1]Wages Sheet'!$B$8:$J$192,9,FALSE)</f>
        <v>-9</v>
      </c>
      <c r="J63" s="10">
        <f>SUM(VLOOKUP(B63,'[1]Wages Sheet'!$B$8:$K$192,10,FALSE)+(VLOOKUP(B63,'[1]Wages Sheet'!$B$8:$L$192,11,FALSE)))</f>
        <v>4</v>
      </c>
      <c r="K63" s="10">
        <f>VLOOKUP(B63,'[1]Wages Sheet'!$B$8:$O$192,14,FALSE)</f>
        <v>4</v>
      </c>
      <c r="L63" s="10">
        <f>VLOOKUP(B63,'[1]Wages Sheet'!$B$8:$Q$192,16,FALSE)</f>
        <v>0</v>
      </c>
      <c r="M63" s="11">
        <f>VLOOKUP(B63,'[1]Wages Sheet'!$B$8:$T$193,19,FALSE)</f>
        <v>16000</v>
      </c>
      <c r="N63" s="11">
        <f>VLOOKUP(B63,'[1]Wages Sheet'!$B$8:$U$192,20,FALSE)</f>
        <v>16000.000000000002</v>
      </c>
      <c r="O63" s="11">
        <f>VLOOKUP(B63,'[1]Wages Sheet'!$B$8:$W$192,22,FALSE)</f>
        <v>0</v>
      </c>
      <c r="P63" s="11">
        <f>VLOOKUP(B63,'[1]Wages Sheet'!$B$8:$Z$192,25,FALSE)</f>
        <v>14597.258064516129</v>
      </c>
      <c r="Q63" s="11">
        <f>VLOOKUP(B63,'[1]Wages Sheet'!$B$8:$AD$192,28,FALSE)</f>
        <v>30597.258064516129</v>
      </c>
      <c r="R63" s="11">
        <f>VLOOKUP(B63,'[1]Wages Sheet'!$B$8:$AD$192,29,FALSE)</f>
        <v>40000</v>
      </c>
      <c r="S63" s="11">
        <f>VLOOKUP(B63,'[1]Wages Sheet'!$B$8:$AF$192,31,FALSE)</f>
        <v>-9402.7419354838712</v>
      </c>
    </row>
    <row r="64" spans="1:19" x14ac:dyDescent="0.3">
      <c r="A64" s="8" t="s">
        <v>13</v>
      </c>
      <c r="B64" s="9" t="s">
        <v>152</v>
      </c>
      <c r="C64" s="9" t="s">
        <v>54</v>
      </c>
      <c r="D64" s="9" t="s">
        <v>88</v>
      </c>
      <c r="E64" s="9"/>
      <c r="F64" s="10">
        <v>30</v>
      </c>
      <c r="G64" s="10">
        <v>0</v>
      </c>
      <c r="H64" s="10">
        <v>30</v>
      </c>
      <c r="I64" s="10">
        <f>VLOOKUP(B64,'[1]Wages Sheet'!$B$8:$J$192,9,FALSE)</f>
        <v>0</v>
      </c>
      <c r="J64" s="10">
        <f>SUM(VLOOKUP(B64,'[1]Wages Sheet'!$B$8:$K$192,10,FALSE)+(VLOOKUP(B64,'[1]Wages Sheet'!$B$8:$L$192,11,FALSE)))</f>
        <v>0</v>
      </c>
      <c r="K64" s="10">
        <f>VLOOKUP(B64,'[1]Wages Sheet'!$B$8:$O$192,14,FALSE)</f>
        <v>0</v>
      </c>
      <c r="L64" s="10">
        <f>VLOOKUP(B64,'[1]Wages Sheet'!$B$8:$Q$192,16,FALSE)</f>
        <v>0</v>
      </c>
      <c r="M64" s="11">
        <f>VLOOKUP(B64,'[1]Wages Sheet'!$B$8:$T$193,19,FALSE)</f>
        <v>12000</v>
      </c>
      <c r="N64" s="11">
        <f>VLOOKUP(B64,'[1]Wages Sheet'!$B$8:$U$192,20,FALSE)</f>
        <v>0</v>
      </c>
      <c r="O64" s="11">
        <f>VLOOKUP(B64,'[1]Wages Sheet'!$B$8:$W$192,22,FALSE)</f>
        <v>0.45161290322357672</v>
      </c>
      <c r="P64" s="11">
        <f>VLOOKUP(B64,'[1]Wages Sheet'!$B$8:$Z$192,25,FALSE)</f>
        <v>0</v>
      </c>
      <c r="Q64" s="11">
        <f>VLOOKUP(B64,'[1]Wages Sheet'!$B$8:$AD$192,28,FALSE)</f>
        <v>-0.45161290322357672</v>
      </c>
      <c r="R64" s="11">
        <f>VLOOKUP(B64,'[1]Wages Sheet'!$B$8:$AD$192,29,FALSE)</f>
        <v>0</v>
      </c>
      <c r="S64" s="11">
        <f>VLOOKUP(B64,'[1]Wages Sheet'!$B$8:$AF$192,31,FALSE)</f>
        <v>-0.45161290322357672</v>
      </c>
    </row>
    <row r="65" spans="1:19" x14ac:dyDescent="0.3">
      <c r="A65" s="8" t="s">
        <v>13</v>
      </c>
      <c r="B65" s="9" t="s">
        <v>153</v>
      </c>
      <c r="C65" s="9"/>
      <c r="D65" s="9" t="s">
        <v>154</v>
      </c>
      <c r="E65" s="9" t="s">
        <v>56</v>
      </c>
      <c r="F65" s="10">
        <v>30</v>
      </c>
      <c r="G65" s="10">
        <v>20</v>
      </c>
      <c r="H65" s="10">
        <v>10</v>
      </c>
      <c r="I65" s="10">
        <f>VLOOKUP(B65,'[1]Wages Sheet'!$B$8:$J$192,9,FALSE)</f>
        <v>0</v>
      </c>
      <c r="J65" s="10">
        <f>SUM(VLOOKUP(B65,'[1]Wages Sheet'!$B$8:$K$192,10,FALSE)+(VLOOKUP(B65,'[1]Wages Sheet'!$B$8:$L$192,11,FALSE)))</f>
        <v>3</v>
      </c>
      <c r="K65" s="10">
        <f>VLOOKUP(B65,'[1]Wages Sheet'!$B$8:$O$192,14,FALSE)</f>
        <v>3</v>
      </c>
      <c r="L65" s="10">
        <f>VLOOKUP(B65,'[1]Wages Sheet'!$B$8:$Q$192,16,FALSE)</f>
        <v>0</v>
      </c>
      <c r="M65" s="11">
        <f>VLOOKUP(B65,'[1]Wages Sheet'!$B$8:$T$193,19,FALSE)</f>
        <v>11000</v>
      </c>
      <c r="N65" s="11">
        <f>VLOOKUP(B65,'[1]Wages Sheet'!$B$8:$U$192,20,FALSE)</f>
        <v>8433.3333333333339</v>
      </c>
      <c r="O65" s="11">
        <f>VLOOKUP(B65,'[1]Wages Sheet'!$B$8:$W$192,22,FALSE)</f>
        <v>0</v>
      </c>
      <c r="P65" s="11">
        <f>VLOOKUP(B65,'[1]Wages Sheet'!$B$8:$Z$192,25,FALSE)</f>
        <v>7096.2795698924674</v>
      </c>
      <c r="Q65" s="11">
        <f>VLOOKUP(B65,'[1]Wages Sheet'!$B$8:$AD$192,28,FALSE)</f>
        <v>15529.612903225801</v>
      </c>
      <c r="R65" s="11">
        <f>VLOOKUP(B65,'[1]Wages Sheet'!$B$8:$AD$192,29,FALSE)</f>
        <v>15530</v>
      </c>
      <c r="S65" s="11">
        <f>VLOOKUP(B65,'[1]Wages Sheet'!$B$8:$AF$192,31,FALSE)</f>
        <v>-0.38709677419865329</v>
      </c>
    </row>
    <row r="66" spans="1:19" x14ac:dyDescent="0.3">
      <c r="A66" s="8" t="s">
        <v>13</v>
      </c>
      <c r="B66" s="9" t="s">
        <v>155</v>
      </c>
      <c r="C66" s="9" t="s">
        <v>54</v>
      </c>
      <c r="D66" s="9" t="s">
        <v>62</v>
      </c>
      <c r="E66" s="9" t="s">
        <v>56</v>
      </c>
      <c r="F66" s="10">
        <v>30</v>
      </c>
      <c r="G66" s="10">
        <v>23</v>
      </c>
      <c r="H66" s="10">
        <v>7</v>
      </c>
      <c r="I66" s="10">
        <f>VLOOKUP(B66,'[1]Wages Sheet'!$B$8:$J$192,9,FALSE)</f>
        <v>1</v>
      </c>
      <c r="J66" s="10">
        <f>SUM(VLOOKUP(B66,'[1]Wages Sheet'!$B$8:$K$192,10,FALSE)+(VLOOKUP(B66,'[1]Wages Sheet'!$B$8:$L$192,11,FALSE)))</f>
        <v>3</v>
      </c>
      <c r="K66" s="10">
        <f>VLOOKUP(B66,'[1]Wages Sheet'!$B$8:$O$192,14,FALSE)</f>
        <v>4</v>
      </c>
      <c r="L66" s="10">
        <f>VLOOKUP(B66,'[1]Wages Sheet'!$B$8:$Q$192,16,FALSE)</f>
        <v>0</v>
      </c>
      <c r="M66" s="11">
        <f>VLOOKUP(B66,'[1]Wages Sheet'!$B$8:$T$193,19,FALSE)</f>
        <v>16000</v>
      </c>
      <c r="N66" s="11">
        <f>VLOOKUP(B66,'[1]Wages Sheet'!$B$8:$U$192,20,FALSE)</f>
        <v>14400.000000000002</v>
      </c>
      <c r="O66" s="11">
        <f>VLOOKUP(B66,'[1]Wages Sheet'!$B$8:$W$192,22,FALSE)</f>
        <v>14000.333333333332</v>
      </c>
      <c r="P66" s="11">
        <f>VLOOKUP(B66,'[1]Wages Sheet'!$B$8:$Z$192,25,FALSE)</f>
        <v>0</v>
      </c>
      <c r="Q66" s="11">
        <f>VLOOKUP(B66,'[1]Wages Sheet'!$B$8:$AD$192,28,FALSE)</f>
        <v>399.6666666666697</v>
      </c>
      <c r="R66" s="11">
        <f>VLOOKUP(B66,'[1]Wages Sheet'!$B$8:$AD$192,29,FALSE)</f>
        <v>0</v>
      </c>
      <c r="S66" s="11">
        <f>VLOOKUP(B66,'[1]Wages Sheet'!$B$8:$AF$192,31,FALSE)</f>
        <v>399.6666666666697</v>
      </c>
    </row>
    <row r="67" spans="1:19" x14ac:dyDescent="0.3">
      <c r="A67" s="8" t="s">
        <v>13</v>
      </c>
      <c r="B67" s="9" t="s">
        <v>156</v>
      </c>
      <c r="C67" s="9" t="s">
        <v>54</v>
      </c>
      <c r="D67" s="9" t="s">
        <v>110</v>
      </c>
      <c r="E67" s="9" t="s">
        <v>97</v>
      </c>
      <c r="F67" s="10">
        <v>30</v>
      </c>
      <c r="G67" s="10">
        <v>30</v>
      </c>
      <c r="H67" s="10">
        <v>0</v>
      </c>
      <c r="I67" s="10">
        <f>VLOOKUP(B67,'[1]Wages Sheet'!$B$8:$J$192,9,FALSE)</f>
        <v>1</v>
      </c>
      <c r="J67" s="10">
        <f>SUM(VLOOKUP(B67,'[1]Wages Sheet'!$B$8:$K$192,10,FALSE)+(VLOOKUP(B67,'[1]Wages Sheet'!$B$8:$L$192,11,FALSE)))</f>
        <v>4</v>
      </c>
      <c r="K67" s="10">
        <f>VLOOKUP(B67,'[1]Wages Sheet'!$B$8:$O$192,14,FALSE)</f>
        <v>0</v>
      </c>
      <c r="L67" s="10">
        <f>VLOOKUP(B67,'[1]Wages Sheet'!$B$8:$Q$192,16,FALSE)</f>
        <v>5</v>
      </c>
      <c r="M67" s="11">
        <f>VLOOKUP(B67,'[1]Wages Sheet'!$B$8:$T$193,19,FALSE)</f>
        <v>17000</v>
      </c>
      <c r="N67" s="11">
        <f>VLOOKUP(B67,'[1]Wages Sheet'!$B$8:$U$192,20,FALSE)</f>
        <v>17000</v>
      </c>
      <c r="O67" s="11">
        <f>VLOOKUP(B67,'[1]Wages Sheet'!$B$8:$W$192,22,FALSE)</f>
        <v>0</v>
      </c>
      <c r="P67" s="11">
        <f>VLOOKUP(B67,'[1]Wages Sheet'!$B$8:$Z$192,25,FALSE)</f>
        <v>17000.333333333328</v>
      </c>
      <c r="Q67" s="11">
        <f>VLOOKUP(B67,'[1]Wages Sheet'!$B$8:$AD$192,28,FALSE)</f>
        <v>34000.333333333328</v>
      </c>
      <c r="R67" s="11">
        <f>VLOOKUP(B67,'[1]Wages Sheet'!$B$8:$AD$192,29,FALSE)</f>
        <v>34000</v>
      </c>
      <c r="S67" s="11">
        <f>VLOOKUP(B67,'[1]Wages Sheet'!$B$8:$AF$192,31,FALSE)</f>
        <v>0.33333333332848269</v>
      </c>
    </row>
    <row r="68" spans="1:19" x14ac:dyDescent="0.3">
      <c r="A68" s="8" t="s">
        <v>13</v>
      </c>
      <c r="B68" s="9" t="s">
        <v>157</v>
      </c>
      <c r="C68" s="9" t="s">
        <v>64</v>
      </c>
      <c r="D68" s="9" t="s">
        <v>140</v>
      </c>
      <c r="E68" s="9" t="s">
        <v>97</v>
      </c>
      <c r="F68" s="10">
        <v>30</v>
      </c>
      <c r="G68" s="10">
        <v>26</v>
      </c>
      <c r="H68" s="10">
        <v>4</v>
      </c>
      <c r="I68" s="10">
        <f>VLOOKUP(B68,'[1]Wages Sheet'!$B$8:$J$192,9,FALSE)</f>
        <v>7</v>
      </c>
      <c r="J68" s="10">
        <f>SUM(VLOOKUP(B68,'[1]Wages Sheet'!$B$8:$K$192,10,FALSE)+(VLOOKUP(B68,'[1]Wages Sheet'!$B$8:$L$192,11,FALSE)))</f>
        <v>4</v>
      </c>
      <c r="K68" s="10">
        <f>VLOOKUP(B68,'[1]Wages Sheet'!$B$8:$O$192,14,FALSE)</f>
        <v>0</v>
      </c>
      <c r="L68" s="10">
        <f>VLOOKUP(B68,'[1]Wages Sheet'!$B$8:$Q$192,16,FALSE)</f>
        <v>7</v>
      </c>
      <c r="M68" s="11">
        <f>VLOOKUP(B68,'[1]Wages Sheet'!$B$8:$T$193,19,FALSE)</f>
        <v>20500</v>
      </c>
      <c r="N68" s="11">
        <f>VLOOKUP(B68,'[1]Wages Sheet'!$B$8:$U$192,20,FALSE)</f>
        <v>20500</v>
      </c>
      <c r="O68" s="11">
        <f>VLOOKUP(B68,'[1]Wages Sheet'!$B$8:$W$192,22,FALSE)</f>
        <v>0</v>
      </c>
      <c r="P68" s="11">
        <f>VLOOKUP(B68,'[1]Wages Sheet'!$B$8:$Z$192,25,FALSE)</f>
        <v>11580</v>
      </c>
      <c r="Q68" s="11">
        <f>VLOOKUP(B68,'[1]Wages Sheet'!$B$8:$AD$192,28,FALSE)</f>
        <v>32080</v>
      </c>
      <c r="R68" s="11">
        <f>VLOOKUP(B68,'[1]Wages Sheet'!$B$8:$AD$192,29,FALSE)</f>
        <v>32100</v>
      </c>
      <c r="S68" s="11">
        <f>VLOOKUP(B68,'[1]Wages Sheet'!$B$8:$AF$192,31,FALSE)</f>
        <v>-20</v>
      </c>
    </row>
    <row r="69" spans="1:19" x14ac:dyDescent="0.3">
      <c r="A69" s="8" t="s">
        <v>13</v>
      </c>
      <c r="B69" s="9" t="s">
        <v>158</v>
      </c>
      <c r="C69" s="9" t="s">
        <v>64</v>
      </c>
      <c r="D69" s="9" t="s">
        <v>110</v>
      </c>
      <c r="E69" s="9" t="s">
        <v>84</v>
      </c>
      <c r="F69" s="10">
        <v>30</v>
      </c>
      <c r="G69" s="10">
        <v>30</v>
      </c>
      <c r="H69" s="10">
        <v>0</v>
      </c>
      <c r="I69" s="10">
        <f>VLOOKUP(B69,'[1]Wages Sheet'!$B$8:$J$192,9,FALSE)</f>
        <v>-4</v>
      </c>
      <c r="J69" s="10">
        <f>SUM(VLOOKUP(B69,'[1]Wages Sheet'!$B$8:$K$192,10,FALSE)+(VLOOKUP(B69,'[1]Wages Sheet'!$B$8:$L$192,11,FALSE)))</f>
        <v>4</v>
      </c>
      <c r="K69" s="10">
        <f>VLOOKUP(B69,'[1]Wages Sheet'!$B$8:$O$192,14,FALSE)</f>
        <v>0</v>
      </c>
      <c r="L69" s="10">
        <f>VLOOKUP(B69,'[1]Wages Sheet'!$B$8:$Q$192,16,FALSE)</f>
        <v>4</v>
      </c>
      <c r="M69" s="11">
        <f>VLOOKUP(B69,'[1]Wages Sheet'!$B$8:$T$193,19,FALSE)</f>
        <v>19500</v>
      </c>
      <c r="N69" s="11">
        <f>VLOOKUP(B69,'[1]Wages Sheet'!$B$8:$U$192,20,FALSE)</f>
        <v>19500</v>
      </c>
      <c r="O69" s="11">
        <f>VLOOKUP(B69,'[1]Wages Sheet'!$B$8:$W$192,22,FALSE)</f>
        <v>0</v>
      </c>
      <c r="P69" s="11">
        <f>VLOOKUP(B69,'[1]Wages Sheet'!$B$8:$Z$192,25,FALSE)</f>
        <v>0</v>
      </c>
      <c r="Q69" s="11">
        <f>VLOOKUP(B69,'[1]Wages Sheet'!$B$8:$AD$192,28,FALSE)</f>
        <v>19500</v>
      </c>
      <c r="R69" s="11">
        <f>VLOOKUP(B69,'[1]Wages Sheet'!$B$8:$AD$192,29,FALSE)</f>
        <v>19500</v>
      </c>
      <c r="S69" s="11">
        <f>VLOOKUP(B69,'[1]Wages Sheet'!$B$8:$AF$192,31,FALSE)</f>
        <v>0</v>
      </c>
    </row>
    <row r="70" spans="1:19" x14ac:dyDescent="0.3">
      <c r="A70" s="8" t="s">
        <v>13</v>
      </c>
      <c r="B70" s="9" t="s">
        <v>159</v>
      </c>
      <c r="C70" s="9"/>
      <c r="D70" s="9" t="s">
        <v>62</v>
      </c>
      <c r="E70" s="9" t="s">
        <v>92</v>
      </c>
      <c r="F70" s="10">
        <v>30</v>
      </c>
      <c r="G70" s="10">
        <v>0</v>
      </c>
      <c r="H70" s="10">
        <v>30</v>
      </c>
      <c r="I70" s="10">
        <f>VLOOKUP(B70,'[1]Wages Sheet'!$B$8:$J$192,9,FALSE)</f>
        <v>0</v>
      </c>
      <c r="J70" s="10">
        <f>SUM(VLOOKUP(B70,'[1]Wages Sheet'!$B$8:$K$192,10,FALSE)+(VLOOKUP(B70,'[1]Wages Sheet'!$B$8:$L$192,11,FALSE)))</f>
        <v>0</v>
      </c>
      <c r="K70" s="10">
        <f>VLOOKUP(B70,'[1]Wages Sheet'!$B$8:$O$192,14,FALSE)</f>
        <v>0</v>
      </c>
      <c r="L70" s="10">
        <f>VLOOKUP(B70,'[1]Wages Sheet'!$B$8:$Q$192,16,FALSE)</f>
        <v>0</v>
      </c>
      <c r="M70" s="11">
        <f>VLOOKUP(B70,'[1]Wages Sheet'!$B$8:$T$193,19,FALSE)</f>
        <v>5000</v>
      </c>
      <c r="N70" s="11">
        <f>VLOOKUP(B70,'[1]Wages Sheet'!$B$8:$U$192,20,FALSE)</f>
        <v>0</v>
      </c>
      <c r="O70" s="11">
        <f>VLOOKUP(B70,'[1]Wages Sheet'!$B$8:$W$192,22,FALSE)</f>
        <v>0</v>
      </c>
      <c r="P70" s="11">
        <f>VLOOKUP(B70,'[1]Wages Sheet'!$B$8:$Z$192,25,FALSE)</f>
        <v>25000</v>
      </c>
      <c r="Q70" s="11">
        <f>VLOOKUP(B70,'[1]Wages Sheet'!$B$8:$AD$192,28,FALSE)</f>
        <v>25000</v>
      </c>
      <c r="R70" s="11">
        <f>VLOOKUP(B70,'[1]Wages Sheet'!$B$8:$AD$192,29,FALSE)</f>
        <v>0</v>
      </c>
      <c r="S70" s="11">
        <f>VLOOKUP(B70,'[1]Wages Sheet'!$B$8:$AF$192,31,FALSE)</f>
        <v>25000</v>
      </c>
    </row>
    <row r="71" spans="1:19" x14ac:dyDescent="0.3">
      <c r="A71" s="8" t="s">
        <v>13</v>
      </c>
      <c r="B71" s="9" t="s">
        <v>160</v>
      </c>
      <c r="C71" s="9" t="s">
        <v>54</v>
      </c>
      <c r="D71" s="9" t="s">
        <v>88</v>
      </c>
      <c r="E71" s="9" t="s">
        <v>56</v>
      </c>
      <c r="F71" s="10">
        <v>30</v>
      </c>
      <c r="G71" s="10">
        <v>27</v>
      </c>
      <c r="H71" s="10">
        <v>3</v>
      </c>
      <c r="I71" s="10">
        <f>VLOOKUP(B71,'[1]Wages Sheet'!$B$8:$J$192,9,FALSE)</f>
        <v>0</v>
      </c>
      <c r="J71" s="10">
        <f>SUM(VLOOKUP(B71,'[1]Wages Sheet'!$B$8:$K$192,10,FALSE)+(VLOOKUP(B71,'[1]Wages Sheet'!$B$8:$L$192,11,FALSE)))</f>
        <v>4</v>
      </c>
      <c r="K71" s="10">
        <f>VLOOKUP(B71,'[1]Wages Sheet'!$B$8:$O$192,14,FALSE)</f>
        <v>3</v>
      </c>
      <c r="L71" s="10">
        <f>VLOOKUP(B71,'[1]Wages Sheet'!$B$8:$Q$192,16,FALSE)</f>
        <v>1</v>
      </c>
      <c r="M71" s="11">
        <f>VLOOKUP(B71,'[1]Wages Sheet'!$B$8:$T$193,19,FALSE)</f>
        <v>10000</v>
      </c>
      <c r="N71" s="11">
        <f>VLOOKUP(B71,'[1]Wages Sheet'!$B$8:$U$192,20,FALSE)</f>
        <v>10000</v>
      </c>
      <c r="O71" s="11">
        <f>VLOOKUP(B71,'[1]Wages Sheet'!$B$8:$W$192,22,FALSE)</f>
        <v>0</v>
      </c>
      <c r="P71" s="11">
        <f>VLOOKUP(B71,'[1]Wages Sheet'!$B$8:$Z$192,25,FALSE)</f>
        <v>10000</v>
      </c>
      <c r="Q71" s="11">
        <f>VLOOKUP(B71,'[1]Wages Sheet'!$B$8:$AD$192,28,FALSE)</f>
        <v>20000</v>
      </c>
      <c r="R71" s="11">
        <f>VLOOKUP(B71,'[1]Wages Sheet'!$B$8:$AD$192,29,FALSE)</f>
        <v>20000</v>
      </c>
      <c r="S71" s="11">
        <f>VLOOKUP(B71,'[1]Wages Sheet'!$B$8:$AF$192,31,FALSE)</f>
        <v>0</v>
      </c>
    </row>
    <row r="72" spans="1:19" x14ac:dyDescent="0.3">
      <c r="A72" s="8" t="s">
        <v>13</v>
      </c>
      <c r="B72" s="9" t="s">
        <v>161</v>
      </c>
      <c r="C72" s="9" t="s">
        <v>54</v>
      </c>
      <c r="D72" s="9" t="s">
        <v>55</v>
      </c>
      <c r="E72" s="9"/>
      <c r="F72" s="10">
        <v>30</v>
      </c>
      <c r="G72" s="10">
        <v>0</v>
      </c>
      <c r="H72" s="10">
        <v>30</v>
      </c>
      <c r="I72" s="10">
        <f>VLOOKUP(B72,'[1]Wages Sheet'!$B$8:$J$192,9,FALSE)</f>
        <v>0</v>
      </c>
      <c r="J72" s="10">
        <f>SUM(VLOOKUP(B72,'[1]Wages Sheet'!$B$8:$K$192,10,FALSE)+(VLOOKUP(B72,'[1]Wages Sheet'!$B$8:$L$192,11,FALSE)))</f>
        <v>0</v>
      </c>
      <c r="K72" s="10">
        <f>VLOOKUP(B72,'[1]Wages Sheet'!$B$8:$O$192,14,FALSE)</f>
        <v>0</v>
      </c>
      <c r="L72" s="10">
        <f>VLOOKUP(B72,'[1]Wages Sheet'!$B$8:$Q$192,16,FALSE)</f>
        <v>0</v>
      </c>
      <c r="M72" s="11">
        <f>VLOOKUP(B72,'[1]Wages Sheet'!$B$8:$T$193,19,FALSE)</f>
        <v>10000</v>
      </c>
      <c r="N72" s="11">
        <f>VLOOKUP(B72,'[1]Wages Sheet'!$B$8:$U$192,20,FALSE)</f>
        <v>0</v>
      </c>
      <c r="O72" s="11">
        <f>VLOOKUP(B72,'[1]Wages Sheet'!$B$8:$W$192,22,FALSE)</f>
        <v>0</v>
      </c>
      <c r="P72" s="11">
        <f>VLOOKUP(B72,'[1]Wages Sheet'!$B$8:$Z$192,25,FALSE)</f>
        <v>0</v>
      </c>
      <c r="Q72" s="11">
        <f>VLOOKUP(B72,'[1]Wages Sheet'!$B$8:$AD$192,28,FALSE)</f>
        <v>0</v>
      </c>
      <c r="R72" s="11">
        <f>VLOOKUP(B72,'[1]Wages Sheet'!$B$8:$AD$192,29,FALSE)</f>
        <v>0</v>
      </c>
      <c r="S72" s="11">
        <f>VLOOKUP(B72,'[1]Wages Sheet'!$B$8:$AF$192,31,FALSE)</f>
        <v>0</v>
      </c>
    </row>
    <row r="73" spans="1:19" x14ac:dyDescent="0.3">
      <c r="A73" s="8" t="s">
        <v>13</v>
      </c>
      <c r="B73" s="9" t="s">
        <v>162</v>
      </c>
      <c r="C73" s="9" t="s">
        <v>54</v>
      </c>
      <c r="D73" s="9" t="s">
        <v>88</v>
      </c>
      <c r="E73" s="9" t="s">
        <v>56</v>
      </c>
      <c r="F73" s="10">
        <v>30</v>
      </c>
      <c r="G73" s="10">
        <v>25</v>
      </c>
      <c r="H73" s="10">
        <v>5</v>
      </c>
      <c r="I73" s="10">
        <f>VLOOKUP(B73,'[1]Wages Sheet'!$B$8:$J$192,9,FALSE)</f>
        <v>1</v>
      </c>
      <c r="J73" s="10">
        <f>SUM(VLOOKUP(B73,'[1]Wages Sheet'!$B$8:$K$192,10,FALSE)+(VLOOKUP(B73,'[1]Wages Sheet'!$B$8:$L$192,11,FALSE)))</f>
        <v>4</v>
      </c>
      <c r="K73" s="10">
        <f>VLOOKUP(B73,'[1]Wages Sheet'!$B$8:$O$192,14,FALSE)</f>
        <v>5</v>
      </c>
      <c r="L73" s="10">
        <f>VLOOKUP(B73,'[1]Wages Sheet'!$B$8:$Q$192,16,FALSE)</f>
        <v>0</v>
      </c>
      <c r="M73" s="11">
        <f>VLOOKUP(B73,'[1]Wages Sheet'!$B$8:$T$193,19,FALSE)</f>
        <v>8500</v>
      </c>
      <c r="N73" s="11">
        <f>VLOOKUP(B73,'[1]Wages Sheet'!$B$8:$U$192,20,FALSE)</f>
        <v>8500</v>
      </c>
      <c r="O73" s="11">
        <f>VLOOKUP(B73,'[1]Wages Sheet'!$B$8:$W$192,22,FALSE)</f>
        <v>0</v>
      </c>
      <c r="P73" s="11">
        <f>VLOOKUP(B73,'[1]Wages Sheet'!$B$8:$Z$192,25,FALSE)</f>
        <v>8500</v>
      </c>
      <c r="Q73" s="11">
        <f>VLOOKUP(B73,'[1]Wages Sheet'!$B$8:$AD$192,28,FALSE)</f>
        <v>17000</v>
      </c>
      <c r="R73" s="11">
        <f>VLOOKUP(B73,'[1]Wages Sheet'!$B$8:$AD$192,29,FALSE)</f>
        <v>17000</v>
      </c>
      <c r="S73" s="11">
        <f>VLOOKUP(B73,'[1]Wages Sheet'!$B$8:$AF$192,31,FALSE)</f>
        <v>0</v>
      </c>
    </row>
    <row r="74" spans="1:19" x14ac:dyDescent="0.3">
      <c r="A74" s="8" t="s">
        <v>13</v>
      </c>
      <c r="B74" s="9" t="s">
        <v>163</v>
      </c>
      <c r="C74" s="9" t="s">
        <v>54</v>
      </c>
      <c r="D74" s="9" t="s">
        <v>55</v>
      </c>
      <c r="E74" s="9" t="s">
        <v>164</v>
      </c>
      <c r="F74" s="10">
        <v>30</v>
      </c>
      <c r="G74" s="10">
        <v>29</v>
      </c>
      <c r="H74" s="10">
        <v>1</v>
      </c>
      <c r="I74" s="10">
        <f>VLOOKUP(B74,'[1]Wages Sheet'!$B$8:$J$192,9,FALSE)</f>
        <v>6</v>
      </c>
      <c r="J74" s="10">
        <f>SUM(VLOOKUP(B74,'[1]Wages Sheet'!$B$8:$K$192,10,FALSE)+(VLOOKUP(B74,'[1]Wages Sheet'!$B$8:$L$192,11,FALSE)))</f>
        <v>4</v>
      </c>
      <c r="K74" s="10">
        <f>VLOOKUP(B74,'[1]Wages Sheet'!$B$8:$O$192,14,FALSE)</f>
        <v>1</v>
      </c>
      <c r="L74" s="10">
        <f>VLOOKUP(B74,'[1]Wages Sheet'!$B$8:$Q$192,16,FALSE)</f>
        <v>9</v>
      </c>
      <c r="M74" s="11">
        <f>VLOOKUP(B74,'[1]Wages Sheet'!$B$8:$T$193,19,FALSE)</f>
        <v>11000</v>
      </c>
      <c r="N74" s="11">
        <f>VLOOKUP(B74,'[1]Wages Sheet'!$B$8:$U$192,20,FALSE)</f>
        <v>11000</v>
      </c>
      <c r="O74" s="11">
        <f>VLOOKUP(B74,'[1]Wages Sheet'!$B$8:$W$192,22,FALSE)</f>
        <v>0</v>
      </c>
      <c r="P74" s="11">
        <f>VLOOKUP(B74,'[1]Wages Sheet'!$B$8:$Z$192,25,FALSE)</f>
        <v>7966.6666666666642</v>
      </c>
      <c r="Q74" s="11">
        <f>VLOOKUP(B74,'[1]Wages Sheet'!$B$8:$AD$192,28,FALSE)</f>
        <v>18966.666666666664</v>
      </c>
      <c r="R74" s="11">
        <f>VLOOKUP(B74,'[1]Wages Sheet'!$B$8:$AD$192,29,FALSE)</f>
        <v>19000</v>
      </c>
      <c r="S74" s="11">
        <f>VLOOKUP(B74,'[1]Wages Sheet'!$B$8:$AF$192,31,FALSE)</f>
        <v>-33.333333333335759</v>
      </c>
    </row>
    <row r="75" spans="1:19" x14ac:dyDescent="0.3">
      <c r="A75" s="8" t="s">
        <v>13</v>
      </c>
      <c r="B75" s="9" t="s">
        <v>341</v>
      </c>
      <c r="C75" s="9" t="s">
        <v>54</v>
      </c>
      <c r="D75" s="9" t="s">
        <v>166</v>
      </c>
      <c r="E75" s="9" t="s">
        <v>56</v>
      </c>
      <c r="F75" s="10">
        <v>30</v>
      </c>
      <c r="G75" s="10">
        <v>22</v>
      </c>
      <c r="H75" s="10">
        <v>8</v>
      </c>
      <c r="I75" s="10">
        <f>VLOOKUP(B75,'[1]Wages Sheet'!$B$8:$J$192,9,FALSE)</f>
        <v>-3</v>
      </c>
      <c r="J75" s="10">
        <f>SUM(VLOOKUP(B75,'[1]Wages Sheet'!$B$8:$K$192,10,FALSE)+(VLOOKUP(B75,'[1]Wages Sheet'!$B$8:$L$192,11,FALSE)))</f>
        <v>3</v>
      </c>
      <c r="K75" s="10">
        <f>VLOOKUP(B75,'[1]Wages Sheet'!$B$8:$O$192,14,FALSE)</f>
        <v>3</v>
      </c>
      <c r="L75" s="10">
        <f>VLOOKUP(B75,'[1]Wages Sheet'!$B$8:$Q$192,16,FALSE)</f>
        <v>0</v>
      </c>
      <c r="M75" s="11">
        <f>VLOOKUP(B75,'[1]Wages Sheet'!$B$8:$T$193,19,FALSE)</f>
        <v>12000</v>
      </c>
      <c r="N75" s="11">
        <f>VLOOKUP(B75,'[1]Wages Sheet'!$B$8:$U$192,20,FALSE)</f>
        <v>10000</v>
      </c>
      <c r="O75" s="11">
        <f>VLOOKUP(B75,'[1]Wages Sheet'!$B$8:$W$192,22,FALSE)</f>
        <v>5888.7557603686673</v>
      </c>
      <c r="P75" s="11">
        <f>VLOOKUP(B75,'[1]Wages Sheet'!$B$8:$Z$192,25,FALSE)</f>
        <v>0</v>
      </c>
      <c r="Q75" s="11">
        <f>VLOOKUP(B75,'[1]Wages Sheet'!$B$8:$AD$192,28,FALSE)</f>
        <v>4111.2442396313327</v>
      </c>
      <c r="R75" s="11">
        <f>VLOOKUP(B75,'[1]Wages Sheet'!$B$8:$AD$192,29,FALSE)</f>
        <v>25000</v>
      </c>
      <c r="S75" s="11">
        <f>VLOOKUP(B75,'[1]Wages Sheet'!$B$8:$AF$192,31,FALSE)</f>
        <v>-20888.755760368666</v>
      </c>
    </row>
    <row r="76" spans="1:19" x14ac:dyDescent="0.3">
      <c r="A76" s="8" t="s">
        <v>13</v>
      </c>
      <c r="B76" s="9" t="s">
        <v>337</v>
      </c>
      <c r="C76" s="9" t="s">
        <v>54</v>
      </c>
      <c r="D76" s="9" t="s">
        <v>69</v>
      </c>
      <c r="E76" s="9"/>
      <c r="F76" s="10">
        <v>30</v>
      </c>
      <c r="G76" s="10">
        <v>0</v>
      </c>
      <c r="H76" s="10">
        <v>30</v>
      </c>
      <c r="I76" s="10">
        <f>VLOOKUP(B76,'[1]Wages Sheet'!$B$8:$J$192,9,FALSE)</f>
        <v>0</v>
      </c>
      <c r="J76" s="10">
        <f>SUM(VLOOKUP(B76,'[1]Wages Sheet'!$B$8:$K$192,10,FALSE)+(VLOOKUP(B76,'[1]Wages Sheet'!$B$8:$L$192,11,FALSE)))</f>
        <v>0</v>
      </c>
      <c r="K76" s="10">
        <f>VLOOKUP(B76,'[1]Wages Sheet'!$B$8:$O$192,14,FALSE)</f>
        <v>0</v>
      </c>
      <c r="L76" s="10">
        <f>VLOOKUP(B76,'[1]Wages Sheet'!$B$8:$Q$192,16,FALSE)</f>
        <v>0</v>
      </c>
      <c r="M76" s="11">
        <f>VLOOKUP(B76,'[1]Wages Sheet'!$B$8:$T$193,19,FALSE)</f>
        <v>9500</v>
      </c>
      <c r="N76" s="11">
        <f>VLOOKUP(B76,'[1]Wages Sheet'!$B$8:$U$192,20,FALSE)</f>
        <v>0</v>
      </c>
      <c r="O76" s="11">
        <f>VLOOKUP(B76,'[1]Wages Sheet'!$B$8:$W$192,22,FALSE)</f>
        <v>3.2258064516129252</v>
      </c>
      <c r="P76" s="11">
        <f>VLOOKUP(B76,'[1]Wages Sheet'!$B$8:$Z$192,25,FALSE)</f>
        <v>0</v>
      </c>
      <c r="Q76" s="11">
        <f>VLOOKUP(B76,'[1]Wages Sheet'!$B$8:$AD$192,28,FALSE)</f>
        <v>-3.2258064516129252</v>
      </c>
      <c r="R76" s="11">
        <f>VLOOKUP(B76,'[1]Wages Sheet'!$B$8:$AD$192,29,FALSE)</f>
        <v>0</v>
      </c>
      <c r="S76" s="11">
        <f>VLOOKUP(B76,'[1]Wages Sheet'!$B$8:$AF$192,31,FALSE)</f>
        <v>-3.2258064516129252</v>
      </c>
    </row>
    <row r="77" spans="1:19" x14ac:dyDescent="0.3">
      <c r="A77" s="8" t="s">
        <v>13</v>
      </c>
      <c r="B77" s="9" t="s">
        <v>168</v>
      </c>
      <c r="C77" s="9" t="s">
        <v>64</v>
      </c>
      <c r="D77" s="9" t="s">
        <v>62</v>
      </c>
      <c r="E77" s="9"/>
      <c r="F77" s="10">
        <v>30</v>
      </c>
      <c r="G77" s="10">
        <v>0</v>
      </c>
      <c r="H77" s="10">
        <v>30</v>
      </c>
      <c r="I77" s="10">
        <f>VLOOKUP(B77,'[1]Wages Sheet'!$B$8:$J$192,9,FALSE)</f>
        <v>0</v>
      </c>
      <c r="J77" s="10">
        <f>SUM(VLOOKUP(B77,'[1]Wages Sheet'!$B$8:$K$192,10,FALSE)+(VLOOKUP(B77,'[1]Wages Sheet'!$B$8:$L$192,11,FALSE)))</f>
        <v>0</v>
      </c>
      <c r="K77" s="10">
        <f>VLOOKUP(B77,'[1]Wages Sheet'!$B$8:$O$192,14,FALSE)</f>
        <v>0</v>
      </c>
      <c r="L77" s="10">
        <f>VLOOKUP(B77,'[1]Wages Sheet'!$B$8:$Q$192,16,FALSE)</f>
        <v>0</v>
      </c>
      <c r="M77" s="11">
        <f>VLOOKUP(B77,'[1]Wages Sheet'!$B$8:$T$193,19,FALSE)</f>
        <v>16000</v>
      </c>
      <c r="N77" s="11">
        <f>VLOOKUP(B77,'[1]Wages Sheet'!$B$8:$U$192,20,FALSE)</f>
        <v>0</v>
      </c>
      <c r="O77" s="11">
        <f>VLOOKUP(B77,'[1]Wages Sheet'!$B$8:$W$192,22,FALSE)</f>
        <v>0</v>
      </c>
      <c r="P77" s="11">
        <f>VLOOKUP(B77,'[1]Wages Sheet'!$B$8:$Z$192,25,FALSE)</f>
        <v>9181.2365591397793</v>
      </c>
      <c r="Q77" s="11">
        <f>VLOOKUP(B77,'[1]Wages Sheet'!$B$8:$AD$192,28,FALSE)</f>
        <v>9181.2365591397793</v>
      </c>
      <c r="R77" s="11">
        <f>VLOOKUP(B77,'[1]Wages Sheet'!$B$8:$AD$192,29,FALSE)</f>
        <v>0</v>
      </c>
      <c r="S77" s="11">
        <f>VLOOKUP(B77,'[1]Wages Sheet'!$B$8:$AF$192,31,FALSE)</f>
        <v>9181.2365591397793</v>
      </c>
    </row>
    <row r="78" spans="1:19" x14ac:dyDescent="0.3">
      <c r="A78" s="8" t="s">
        <v>13</v>
      </c>
      <c r="B78" s="9" t="s">
        <v>169</v>
      </c>
      <c r="C78" s="9" t="s">
        <v>64</v>
      </c>
      <c r="D78" s="9" t="s">
        <v>55</v>
      </c>
      <c r="E78" s="9"/>
      <c r="F78" s="10">
        <v>30</v>
      </c>
      <c r="G78" s="10">
        <v>0</v>
      </c>
      <c r="H78" s="10">
        <v>30</v>
      </c>
      <c r="I78" s="10">
        <f>VLOOKUP(B78,'[1]Wages Sheet'!$B$8:$J$192,9,FALSE)</f>
        <v>0</v>
      </c>
      <c r="J78" s="10">
        <f>SUM(VLOOKUP(B78,'[1]Wages Sheet'!$B$8:$K$192,10,FALSE)+(VLOOKUP(B78,'[1]Wages Sheet'!$B$8:$L$192,11,FALSE)))</f>
        <v>0</v>
      </c>
      <c r="K78" s="10">
        <f>VLOOKUP(B78,'[1]Wages Sheet'!$B$8:$O$192,14,FALSE)</f>
        <v>0</v>
      </c>
      <c r="L78" s="10">
        <f>VLOOKUP(B78,'[1]Wages Sheet'!$B$8:$Q$192,16,FALSE)</f>
        <v>0</v>
      </c>
      <c r="M78" s="11">
        <f>VLOOKUP(B78,'[1]Wages Sheet'!$B$8:$T$193,19,FALSE)</f>
        <v>14000</v>
      </c>
      <c r="N78" s="11">
        <f>VLOOKUP(B78,'[1]Wages Sheet'!$B$8:$U$192,20,FALSE)</f>
        <v>0</v>
      </c>
      <c r="O78" s="11">
        <f>VLOOKUP(B78,'[1]Wages Sheet'!$B$8:$W$192,22,FALSE)</f>
        <v>0</v>
      </c>
      <c r="P78" s="11">
        <f>VLOOKUP(B78,'[1]Wages Sheet'!$B$8:$Z$192,25,FALSE)</f>
        <v>0</v>
      </c>
      <c r="Q78" s="11">
        <f>VLOOKUP(B78,'[1]Wages Sheet'!$B$8:$AD$192,28,FALSE)</f>
        <v>0</v>
      </c>
      <c r="R78" s="11">
        <f>VLOOKUP(B78,'[1]Wages Sheet'!$B$8:$AD$192,29,FALSE)</f>
        <v>0</v>
      </c>
      <c r="S78" s="11">
        <f>VLOOKUP(B78,'[1]Wages Sheet'!$B$8:$AF$192,31,FALSE)</f>
        <v>0</v>
      </c>
    </row>
    <row r="79" spans="1:19" x14ac:dyDescent="0.3">
      <c r="A79" s="8" t="s">
        <v>13</v>
      </c>
      <c r="B79" s="9" t="s">
        <v>170</v>
      </c>
      <c r="C79" s="9" t="s">
        <v>54</v>
      </c>
      <c r="D79" s="9" t="s">
        <v>62</v>
      </c>
      <c r="E79" s="9" t="s">
        <v>56</v>
      </c>
      <c r="F79" s="10">
        <v>30</v>
      </c>
      <c r="G79" s="10">
        <v>0</v>
      </c>
      <c r="H79" s="10">
        <v>30</v>
      </c>
      <c r="I79" s="10">
        <f>VLOOKUP(B79,'[1]Wages Sheet'!$B$8:$J$192,9,FALSE)</f>
        <v>3</v>
      </c>
      <c r="J79" s="10">
        <f>SUM(VLOOKUP(B79,'[1]Wages Sheet'!$B$8:$K$192,10,FALSE)+(VLOOKUP(B79,'[1]Wages Sheet'!$B$8:$L$192,11,FALSE)))</f>
        <v>0</v>
      </c>
      <c r="K79" s="10">
        <f>VLOOKUP(B79,'[1]Wages Sheet'!$B$8:$O$192,14,FALSE)</f>
        <v>3</v>
      </c>
      <c r="L79" s="10">
        <f>VLOOKUP(B79,'[1]Wages Sheet'!$B$8:$Q$192,16,FALSE)</f>
        <v>3</v>
      </c>
      <c r="M79" s="11">
        <f>VLOOKUP(B79,'[1]Wages Sheet'!$B$8:$T$193,19,FALSE)</f>
        <v>16000</v>
      </c>
      <c r="N79" s="11">
        <f>VLOOKUP(B79,'[1]Wages Sheet'!$B$8:$U$192,20,FALSE)</f>
        <v>1600</v>
      </c>
      <c r="O79" s="11">
        <f>VLOOKUP(B79,'[1]Wages Sheet'!$B$8:$W$192,22,FALSE)</f>
        <v>0</v>
      </c>
      <c r="P79" s="11">
        <f>VLOOKUP(B79,'[1]Wages Sheet'!$B$8:$Z$192,25,FALSE)</f>
        <v>1016.9377419354862</v>
      </c>
      <c r="Q79" s="11">
        <f>VLOOKUP(B79,'[1]Wages Sheet'!$B$8:$AD$192,28,FALSE)</f>
        <v>2616.937741935486</v>
      </c>
      <c r="R79" s="11">
        <f>VLOOKUP(B79,'[1]Wages Sheet'!$B$8:$AD$192,29,FALSE)</f>
        <v>2617</v>
      </c>
      <c r="S79" s="11">
        <f>VLOOKUP(B79,'[1]Wages Sheet'!$B$8:$AF$192,31,FALSE)</f>
        <v>-6.2258064514026046E-2</v>
      </c>
    </row>
    <row r="80" spans="1:19" x14ac:dyDescent="0.3">
      <c r="A80" s="8" t="s">
        <v>13</v>
      </c>
      <c r="B80" s="9" t="s">
        <v>338</v>
      </c>
      <c r="C80" s="9" t="s">
        <v>54</v>
      </c>
      <c r="D80" s="9" t="s">
        <v>172</v>
      </c>
      <c r="E80" s="9" t="s">
        <v>56</v>
      </c>
      <c r="F80" s="10">
        <v>30</v>
      </c>
      <c r="G80" s="10">
        <v>30</v>
      </c>
      <c r="H80" s="10">
        <v>0</v>
      </c>
      <c r="I80" s="10">
        <f>VLOOKUP(B80,'[1]Wages Sheet'!$B$8:$J$192,9,FALSE)</f>
        <v>-2.5</v>
      </c>
      <c r="J80" s="10">
        <f>SUM(VLOOKUP(B80,'[1]Wages Sheet'!$B$8:$K$192,10,FALSE)+(VLOOKUP(B80,'[1]Wages Sheet'!$B$8:$L$192,11,FALSE)))</f>
        <v>4</v>
      </c>
      <c r="K80" s="10">
        <f>VLOOKUP(B80,'[1]Wages Sheet'!$B$8:$O$192,14,FALSE)</f>
        <v>0</v>
      </c>
      <c r="L80" s="10">
        <f>VLOOKUP(B80,'[1]Wages Sheet'!$B$8:$Q$192,16,FALSE)</f>
        <v>4</v>
      </c>
      <c r="M80" s="11">
        <f>VLOOKUP(B80,'[1]Wages Sheet'!$B$8:$T$193,19,FALSE)</f>
        <v>9000</v>
      </c>
      <c r="N80" s="11">
        <f>VLOOKUP(B80,'[1]Wages Sheet'!$B$8:$U$192,20,FALSE)</f>
        <v>9000</v>
      </c>
      <c r="O80" s="11">
        <f>VLOOKUP(B80,'[1]Wages Sheet'!$B$8:$W$192,22,FALSE)</f>
        <v>0</v>
      </c>
      <c r="P80" s="11">
        <f>VLOOKUP(B80,'[1]Wages Sheet'!$B$8:$Z$192,25,FALSE)</f>
        <v>8998</v>
      </c>
      <c r="Q80" s="11">
        <f>VLOOKUP(B80,'[1]Wages Sheet'!$B$8:$AD$192,28,FALSE)</f>
        <v>17998</v>
      </c>
      <c r="R80" s="11">
        <f>VLOOKUP(B80,'[1]Wages Sheet'!$B$8:$AD$192,29,FALSE)</f>
        <v>18000</v>
      </c>
      <c r="S80" s="11">
        <f>VLOOKUP(B80,'[1]Wages Sheet'!$B$8:$AF$192,31,FALSE)</f>
        <v>-2</v>
      </c>
    </row>
    <row r="81" spans="1:19" x14ac:dyDescent="0.3">
      <c r="A81" s="8" t="s">
        <v>13</v>
      </c>
      <c r="B81" s="9" t="s">
        <v>173</v>
      </c>
      <c r="C81" s="9" t="s">
        <v>54</v>
      </c>
      <c r="D81" s="9" t="s">
        <v>100</v>
      </c>
      <c r="E81" s="9" t="s">
        <v>56</v>
      </c>
      <c r="F81" s="10">
        <v>30</v>
      </c>
      <c r="G81" s="10">
        <v>27</v>
      </c>
      <c r="H81" s="10">
        <v>3</v>
      </c>
      <c r="I81" s="10">
        <f>VLOOKUP(B81,'[1]Wages Sheet'!$B$8:$J$192,9,FALSE)</f>
        <v>0</v>
      </c>
      <c r="J81" s="10">
        <f>SUM(VLOOKUP(B81,'[1]Wages Sheet'!$B$8:$K$192,10,FALSE)+(VLOOKUP(B81,'[1]Wages Sheet'!$B$8:$L$192,11,FALSE)))</f>
        <v>0</v>
      </c>
      <c r="K81" s="10">
        <f>VLOOKUP(B81,'[1]Wages Sheet'!$B$8:$O$192,14,FALSE)</f>
        <v>0</v>
      </c>
      <c r="L81" s="10">
        <f>VLOOKUP(B81,'[1]Wages Sheet'!$B$8:$Q$192,16,FALSE)</f>
        <v>0</v>
      </c>
      <c r="M81" s="11">
        <f>VLOOKUP(B81,'[1]Wages Sheet'!$B$8:$T$193,19,FALSE)</f>
        <v>9000</v>
      </c>
      <c r="N81" s="11">
        <f>VLOOKUP(B81,'[1]Wages Sheet'!$B$8:$U$192,20,FALSE)</f>
        <v>8100</v>
      </c>
      <c r="O81" s="11">
        <f>VLOOKUP(B81,'[1]Wages Sheet'!$B$8:$W$192,22,FALSE)</f>
        <v>0</v>
      </c>
      <c r="P81" s="11">
        <f>VLOOKUP(B81,'[1]Wages Sheet'!$B$8:$Z$192,25,FALSE)</f>
        <v>4419.42866359447</v>
      </c>
      <c r="Q81" s="11">
        <f>VLOOKUP(B81,'[1]Wages Sheet'!$B$8:$AD$192,28,FALSE)</f>
        <v>12519.42866359447</v>
      </c>
      <c r="R81" s="11">
        <f>VLOOKUP(B81,'[1]Wages Sheet'!$B$8:$AD$192,29,FALSE)</f>
        <v>12520</v>
      </c>
      <c r="S81" s="11">
        <f>VLOOKUP(B81,'[1]Wages Sheet'!$B$8:$AF$192,31,FALSE)</f>
        <v>-0.57133640553001896</v>
      </c>
    </row>
    <row r="82" spans="1:19" x14ac:dyDescent="0.3">
      <c r="A82" s="8" t="s">
        <v>13</v>
      </c>
      <c r="B82" s="9" t="s">
        <v>174</v>
      </c>
      <c r="C82" s="9" t="s">
        <v>54</v>
      </c>
      <c r="D82" s="9" t="s">
        <v>140</v>
      </c>
      <c r="E82" s="9"/>
      <c r="F82" s="10">
        <v>30</v>
      </c>
      <c r="G82" s="10">
        <v>0</v>
      </c>
      <c r="H82" s="10">
        <v>30</v>
      </c>
      <c r="I82" s="10">
        <f>VLOOKUP(B82,'[1]Wages Sheet'!$B$8:$J$192,9,FALSE)</f>
        <v>0</v>
      </c>
      <c r="J82" s="10">
        <f>SUM(VLOOKUP(B82,'[1]Wages Sheet'!$B$8:$K$192,10,FALSE)+(VLOOKUP(B82,'[1]Wages Sheet'!$B$8:$L$192,11,FALSE)))</f>
        <v>0</v>
      </c>
      <c r="K82" s="10">
        <f>VLOOKUP(B82,'[1]Wages Sheet'!$B$8:$O$192,14,FALSE)</f>
        <v>0</v>
      </c>
      <c r="L82" s="10">
        <f>VLOOKUP(B82,'[1]Wages Sheet'!$B$8:$Q$192,16,FALSE)</f>
        <v>0</v>
      </c>
      <c r="M82" s="11">
        <f>VLOOKUP(B82,'[1]Wages Sheet'!$B$8:$T$193,19,FALSE)</f>
        <v>15000</v>
      </c>
      <c r="N82" s="11">
        <f>VLOOKUP(B82,'[1]Wages Sheet'!$B$8:$U$192,20,FALSE)</f>
        <v>0</v>
      </c>
      <c r="O82" s="11">
        <f>VLOOKUP(B82,'[1]Wages Sheet'!$B$8:$W$192,22,FALSE)</f>
        <v>0</v>
      </c>
      <c r="P82" s="11">
        <f>VLOOKUP(B82,'[1]Wages Sheet'!$B$8:$Z$192,25,FALSE)</f>
        <v>0</v>
      </c>
      <c r="Q82" s="11">
        <f>VLOOKUP(B82,'[1]Wages Sheet'!$B$8:$AD$192,28,FALSE)</f>
        <v>0</v>
      </c>
      <c r="R82" s="11">
        <f>VLOOKUP(B82,'[1]Wages Sheet'!$B$8:$AD$192,29,FALSE)</f>
        <v>0</v>
      </c>
      <c r="S82" s="11">
        <f>VLOOKUP(B82,'[1]Wages Sheet'!$B$8:$AF$192,31,FALSE)</f>
        <v>0</v>
      </c>
    </row>
    <row r="83" spans="1:19" x14ac:dyDescent="0.3">
      <c r="A83" s="8" t="s">
        <v>13</v>
      </c>
      <c r="B83" s="9" t="s">
        <v>175</v>
      </c>
      <c r="C83" s="9" t="s">
        <v>54</v>
      </c>
      <c r="D83" s="9" t="s">
        <v>176</v>
      </c>
      <c r="E83" s="9" t="s">
        <v>92</v>
      </c>
      <c r="F83" s="10">
        <v>30</v>
      </c>
      <c r="G83" s="10">
        <v>28</v>
      </c>
      <c r="H83" s="10">
        <v>2</v>
      </c>
      <c r="I83" s="10">
        <f>VLOOKUP(B83,'[1]Wages Sheet'!$B$8:$J$192,9,FALSE)</f>
        <v>1</v>
      </c>
      <c r="J83" s="10">
        <f>SUM(VLOOKUP(B83,'[1]Wages Sheet'!$B$8:$K$192,10,FALSE)+(VLOOKUP(B83,'[1]Wages Sheet'!$B$8:$L$192,11,FALSE)))</f>
        <v>4</v>
      </c>
      <c r="K83" s="10">
        <f>VLOOKUP(B83,'[1]Wages Sheet'!$B$8:$O$192,14,FALSE)</f>
        <v>0</v>
      </c>
      <c r="L83" s="10">
        <f>VLOOKUP(B83,'[1]Wages Sheet'!$B$8:$Q$192,16,FALSE)</f>
        <v>3</v>
      </c>
      <c r="M83" s="11">
        <f>VLOOKUP(B83,'[1]Wages Sheet'!$B$8:$T$193,19,FALSE)</f>
        <v>9500</v>
      </c>
      <c r="N83" s="11">
        <f>VLOOKUP(B83,'[1]Wages Sheet'!$B$8:$U$192,20,FALSE)</f>
        <v>9500</v>
      </c>
      <c r="O83" s="11">
        <f>VLOOKUP(B83,'[1]Wages Sheet'!$B$8:$W$192,22,FALSE)</f>
        <v>0</v>
      </c>
      <c r="P83" s="11">
        <f>VLOOKUP(B83,'[1]Wages Sheet'!$B$8:$Z$192,25,FALSE)</f>
        <v>9461.290322580644</v>
      </c>
      <c r="Q83" s="11">
        <f>VLOOKUP(B83,'[1]Wages Sheet'!$B$8:$AD$192,28,FALSE)</f>
        <v>18961.290322580644</v>
      </c>
      <c r="R83" s="11">
        <f>VLOOKUP(B83,'[1]Wages Sheet'!$B$8:$AD$192,29,FALSE)</f>
        <v>19000</v>
      </c>
      <c r="S83" s="11">
        <f>VLOOKUP(B83,'[1]Wages Sheet'!$B$8:$AF$192,31,FALSE)</f>
        <v>-38.709677419356012</v>
      </c>
    </row>
    <row r="84" spans="1:19" x14ac:dyDescent="0.3">
      <c r="A84" s="8" t="s">
        <v>13</v>
      </c>
      <c r="B84" s="9" t="s">
        <v>177</v>
      </c>
      <c r="C84" s="9" t="s">
        <v>54</v>
      </c>
      <c r="D84" s="9" t="s">
        <v>62</v>
      </c>
      <c r="E84" s="9" t="s">
        <v>97</v>
      </c>
      <c r="F84" s="10">
        <v>30</v>
      </c>
      <c r="G84" s="10">
        <v>10</v>
      </c>
      <c r="H84" s="10">
        <v>20</v>
      </c>
      <c r="I84" s="10">
        <f>VLOOKUP(B84,'[1]Wages Sheet'!$B$8:$J$192,9,FALSE)</f>
        <v>2</v>
      </c>
      <c r="J84" s="10">
        <f>SUM(VLOOKUP(B84,'[1]Wages Sheet'!$B$8:$K$192,10,FALSE)+(VLOOKUP(B84,'[1]Wages Sheet'!$B$8:$L$192,11,FALSE)))</f>
        <v>2</v>
      </c>
      <c r="K84" s="10">
        <f>VLOOKUP(B84,'[1]Wages Sheet'!$B$8:$O$192,14,FALSE)</f>
        <v>0</v>
      </c>
      <c r="L84" s="10">
        <f>VLOOKUP(B84,'[1]Wages Sheet'!$B$8:$Q$192,16,FALSE)</f>
        <v>0</v>
      </c>
      <c r="M84" s="11">
        <f>VLOOKUP(B84,'[1]Wages Sheet'!$B$8:$T$193,19,FALSE)</f>
        <v>16000</v>
      </c>
      <c r="N84" s="11">
        <f>VLOOKUP(B84,'[1]Wages Sheet'!$B$8:$U$192,20,FALSE)</f>
        <v>7466.666666666667</v>
      </c>
      <c r="O84" s="11">
        <f>VLOOKUP(B84,'[1]Wages Sheet'!$B$8:$W$192,22,FALSE)</f>
        <v>29000</v>
      </c>
      <c r="P84" s="11">
        <f>VLOOKUP(B84,'[1]Wages Sheet'!$B$8:$Z$192,25,FALSE)</f>
        <v>0</v>
      </c>
      <c r="Q84" s="11">
        <f>VLOOKUP(B84,'[1]Wages Sheet'!$B$8:$AD$192,28,FALSE)</f>
        <v>-21533.333333333332</v>
      </c>
      <c r="R84" s="11">
        <f>VLOOKUP(B84,'[1]Wages Sheet'!$B$8:$AD$192,29,FALSE)</f>
        <v>11000</v>
      </c>
      <c r="S84" s="11">
        <f>VLOOKUP(B84,'[1]Wages Sheet'!$B$8:$AF$192,31,FALSE)</f>
        <v>-32533.333333333332</v>
      </c>
    </row>
    <row r="85" spans="1:19" x14ac:dyDescent="0.3">
      <c r="A85" s="8" t="s">
        <v>13</v>
      </c>
      <c r="B85" s="9" t="s">
        <v>178</v>
      </c>
      <c r="C85" s="9" t="s">
        <v>64</v>
      </c>
      <c r="D85" s="9" t="s">
        <v>140</v>
      </c>
      <c r="E85" s="9" t="s">
        <v>97</v>
      </c>
      <c r="F85" s="10">
        <v>30</v>
      </c>
      <c r="G85" s="10">
        <v>30</v>
      </c>
      <c r="H85" s="10">
        <v>0</v>
      </c>
      <c r="I85" s="10">
        <f>VLOOKUP(B85,'[1]Wages Sheet'!$B$8:$J$192,9,FALSE)</f>
        <v>12</v>
      </c>
      <c r="J85" s="10">
        <f>SUM(VLOOKUP(B85,'[1]Wages Sheet'!$B$8:$K$192,10,FALSE)+(VLOOKUP(B85,'[1]Wages Sheet'!$B$8:$L$192,11,FALSE)))</f>
        <v>4</v>
      </c>
      <c r="K85" s="10">
        <f>VLOOKUP(B85,'[1]Wages Sheet'!$B$8:$O$192,14,FALSE)</f>
        <v>0</v>
      </c>
      <c r="L85" s="10">
        <f>VLOOKUP(B85,'[1]Wages Sheet'!$B$8:$Q$192,16,FALSE)</f>
        <v>16</v>
      </c>
      <c r="M85" s="11">
        <f>VLOOKUP(B85,'[1]Wages Sheet'!$B$8:$T$193,19,FALSE)</f>
        <v>19500</v>
      </c>
      <c r="N85" s="11">
        <f>VLOOKUP(B85,'[1]Wages Sheet'!$B$8:$U$192,20,FALSE)</f>
        <v>19500</v>
      </c>
      <c r="O85" s="11">
        <f>VLOOKUP(B85,'[1]Wages Sheet'!$B$8:$W$192,22,FALSE)</f>
        <v>0</v>
      </c>
      <c r="P85" s="11">
        <f>VLOOKUP(B85,'[1]Wages Sheet'!$B$8:$Z$192,25,FALSE)</f>
        <v>14220</v>
      </c>
      <c r="Q85" s="11">
        <f>VLOOKUP(B85,'[1]Wages Sheet'!$B$8:$AD$192,28,FALSE)</f>
        <v>33720</v>
      </c>
      <c r="R85" s="11">
        <f>VLOOKUP(B85,'[1]Wages Sheet'!$B$8:$AD$192,29,FALSE)</f>
        <v>33720</v>
      </c>
      <c r="S85" s="11">
        <f>VLOOKUP(B85,'[1]Wages Sheet'!$B$8:$AF$192,31,FALSE)</f>
        <v>0</v>
      </c>
    </row>
    <row r="86" spans="1:19" x14ac:dyDescent="0.3">
      <c r="A86" s="8" t="s">
        <v>13</v>
      </c>
      <c r="B86" s="9" t="s">
        <v>179</v>
      </c>
      <c r="C86" s="9" t="s">
        <v>54</v>
      </c>
      <c r="D86" s="9" t="s">
        <v>58</v>
      </c>
      <c r="E86" s="9"/>
      <c r="F86" s="10">
        <v>30</v>
      </c>
      <c r="G86" s="10">
        <v>0</v>
      </c>
      <c r="H86" s="10">
        <v>30</v>
      </c>
      <c r="I86" s="10">
        <f>VLOOKUP(B86,'[1]Wages Sheet'!$B$8:$J$192,9,FALSE)</f>
        <v>0</v>
      </c>
      <c r="J86" s="10">
        <f>SUM(VLOOKUP(B86,'[1]Wages Sheet'!$B$8:$K$192,10,FALSE)+(VLOOKUP(B86,'[1]Wages Sheet'!$B$8:$L$192,11,FALSE)))</f>
        <v>0</v>
      </c>
      <c r="K86" s="10">
        <f>VLOOKUP(B86,'[1]Wages Sheet'!$B$8:$O$192,14,FALSE)</f>
        <v>0</v>
      </c>
      <c r="L86" s="10">
        <f>VLOOKUP(B86,'[1]Wages Sheet'!$B$8:$Q$192,16,FALSE)</f>
        <v>0</v>
      </c>
      <c r="M86" s="11">
        <f>VLOOKUP(B86,'[1]Wages Sheet'!$B$8:$T$193,19,FALSE)</f>
        <v>9500</v>
      </c>
      <c r="N86" s="11">
        <f>VLOOKUP(B86,'[1]Wages Sheet'!$B$8:$U$192,20,FALSE)</f>
        <v>0</v>
      </c>
      <c r="O86" s="11">
        <f>VLOOKUP(B86,'[1]Wages Sheet'!$B$8:$W$192,22,FALSE)</f>
        <v>0</v>
      </c>
      <c r="P86" s="11">
        <f>VLOOKUP(B86,'[1]Wages Sheet'!$B$8:$Z$192,25,FALSE)</f>
        <v>0</v>
      </c>
      <c r="Q86" s="11">
        <f>VLOOKUP(B86,'[1]Wages Sheet'!$B$8:$AD$192,28,FALSE)</f>
        <v>0</v>
      </c>
      <c r="R86" s="11">
        <f>VLOOKUP(B86,'[1]Wages Sheet'!$B$8:$AD$192,29,FALSE)</f>
        <v>0</v>
      </c>
      <c r="S86" s="11">
        <f>VLOOKUP(B86,'[1]Wages Sheet'!$B$8:$AF$192,31,FALSE)</f>
        <v>0</v>
      </c>
    </row>
    <row r="87" spans="1:19" x14ac:dyDescent="0.3">
      <c r="A87" s="8" t="s">
        <v>13</v>
      </c>
      <c r="B87" s="9" t="s">
        <v>180</v>
      </c>
      <c r="C87" s="9" t="s">
        <v>64</v>
      </c>
      <c r="D87" s="9" t="s">
        <v>67</v>
      </c>
      <c r="E87" s="9" t="s">
        <v>59</v>
      </c>
      <c r="F87" s="10">
        <v>30</v>
      </c>
      <c r="G87" s="10">
        <v>19</v>
      </c>
      <c r="H87" s="10">
        <v>11</v>
      </c>
      <c r="I87" s="10">
        <f>VLOOKUP(B87,'[1]Wages Sheet'!$B$8:$J$192,9,FALSE)</f>
        <v>-2</v>
      </c>
      <c r="J87" s="10">
        <f>SUM(VLOOKUP(B87,'[1]Wages Sheet'!$B$8:$K$192,10,FALSE)+(VLOOKUP(B87,'[1]Wages Sheet'!$B$8:$L$192,11,FALSE)))</f>
        <v>11</v>
      </c>
      <c r="K87" s="10">
        <f>VLOOKUP(B87,'[1]Wages Sheet'!$B$8:$O$192,14,FALSE)</f>
        <v>0</v>
      </c>
      <c r="L87" s="10">
        <f>VLOOKUP(B87,'[1]Wages Sheet'!$B$8:$Q$192,16,FALSE)</f>
        <v>0</v>
      </c>
      <c r="M87" s="11">
        <f>VLOOKUP(B87,'[1]Wages Sheet'!$B$8:$T$193,19,FALSE)</f>
        <v>22000</v>
      </c>
      <c r="N87" s="11">
        <f>VLOOKUP(B87,'[1]Wages Sheet'!$B$8:$U$192,20,FALSE)</f>
        <v>22000</v>
      </c>
      <c r="O87" s="11">
        <f>VLOOKUP(B87,'[1]Wages Sheet'!$B$8:$W$192,22,FALSE)</f>
        <v>24500</v>
      </c>
      <c r="P87" s="11">
        <f>VLOOKUP(B87,'[1]Wages Sheet'!$B$8:$Z$192,25,FALSE)</f>
        <v>0</v>
      </c>
      <c r="Q87" s="11">
        <f>VLOOKUP(B87,'[1]Wages Sheet'!$B$8:$AD$192,28,FALSE)</f>
        <v>-2500</v>
      </c>
      <c r="R87" s="11">
        <f>VLOOKUP(B87,'[1]Wages Sheet'!$B$8:$AD$192,29,FALSE)</f>
        <v>25000</v>
      </c>
      <c r="S87" s="11">
        <f>VLOOKUP(B87,'[1]Wages Sheet'!$B$8:$AF$192,31,FALSE)</f>
        <v>-27500</v>
      </c>
    </row>
    <row r="88" spans="1:19" x14ac:dyDescent="0.3">
      <c r="A88" s="8" t="s">
        <v>13</v>
      </c>
      <c r="B88" s="9" t="s">
        <v>181</v>
      </c>
      <c r="C88" s="9" t="s">
        <v>64</v>
      </c>
      <c r="D88" s="9" t="s">
        <v>182</v>
      </c>
      <c r="E88" s="9" t="s">
        <v>92</v>
      </c>
      <c r="F88" s="10">
        <v>30</v>
      </c>
      <c r="G88" s="10">
        <v>25</v>
      </c>
      <c r="H88" s="10">
        <v>5</v>
      </c>
      <c r="I88" s="10">
        <f>VLOOKUP(B88,'[1]Wages Sheet'!$B$8:$J$192,9,FALSE)</f>
        <v>7</v>
      </c>
      <c r="J88" s="10">
        <f>SUM(VLOOKUP(B88,'[1]Wages Sheet'!$B$8:$K$192,10,FALSE)+(VLOOKUP(B88,'[1]Wages Sheet'!$B$8:$L$192,11,FALSE)))</f>
        <v>4</v>
      </c>
      <c r="K88" s="10">
        <f>VLOOKUP(B88,'[1]Wages Sheet'!$B$8:$O$192,14,FALSE)</f>
        <v>0</v>
      </c>
      <c r="L88" s="10">
        <f>VLOOKUP(B88,'[1]Wages Sheet'!$B$8:$Q$192,16,FALSE)</f>
        <v>6</v>
      </c>
      <c r="M88" s="11">
        <f>VLOOKUP(B88,'[1]Wages Sheet'!$B$8:$T$193,19,FALSE)</f>
        <v>20000</v>
      </c>
      <c r="N88" s="11">
        <f>VLOOKUP(B88,'[1]Wages Sheet'!$B$8:$U$192,20,FALSE)</f>
        <v>20000</v>
      </c>
      <c r="O88" s="11">
        <f>VLOOKUP(B88,'[1]Wages Sheet'!$B$8:$W$192,22,FALSE)</f>
        <v>0</v>
      </c>
      <c r="P88" s="11">
        <f>VLOOKUP(B88,'[1]Wages Sheet'!$B$8:$Z$192,25,FALSE)</f>
        <v>20000</v>
      </c>
      <c r="Q88" s="11">
        <f>VLOOKUP(B88,'[1]Wages Sheet'!$B$8:$AD$192,28,FALSE)</f>
        <v>40000</v>
      </c>
      <c r="R88" s="11">
        <f>VLOOKUP(B88,'[1]Wages Sheet'!$B$8:$AD$192,29,FALSE)</f>
        <v>40000</v>
      </c>
      <c r="S88" s="11">
        <f>VLOOKUP(B88,'[1]Wages Sheet'!$B$8:$AF$192,31,FALSE)</f>
        <v>0</v>
      </c>
    </row>
    <row r="89" spans="1:19" x14ac:dyDescent="0.3">
      <c r="A89" s="8" t="s">
        <v>13</v>
      </c>
      <c r="B89" s="9" t="s">
        <v>183</v>
      </c>
      <c r="C89" s="9" t="s">
        <v>54</v>
      </c>
      <c r="D89" s="9" t="s">
        <v>58</v>
      </c>
      <c r="E89" s="9" t="s">
        <v>92</v>
      </c>
      <c r="F89" s="10">
        <v>30</v>
      </c>
      <c r="G89" s="10">
        <v>28</v>
      </c>
      <c r="H89" s="10">
        <v>2</v>
      </c>
      <c r="I89" s="10">
        <f>VLOOKUP(B89,'[1]Wages Sheet'!$B$8:$J$192,9,FALSE)</f>
        <v>6</v>
      </c>
      <c r="J89" s="10">
        <f>SUM(VLOOKUP(B89,'[1]Wages Sheet'!$B$8:$K$192,10,FALSE)+(VLOOKUP(B89,'[1]Wages Sheet'!$B$8:$L$192,11,FALSE)))</f>
        <v>4</v>
      </c>
      <c r="K89" s="10">
        <f>VLOOKUP(B89,'[1]Wages Sheet'!$B$8:$O$192,14,FALSE)</f>
        <v>0</v>
      </c>
      <c r="L89" s="10">
        <f>VLOOKUP(B89,'[1]Wages Sheet'!$B$8:$Q$192,16,FALSE)</f>
        <v>8</v>
      </c>
      <c r="M89" s="11">
        <f>VLOOKUP(B89,'[1]Wages Sheet'!$B$8:$T$193,19,FALSE)</f>
        <v>9500</v>
      </c>
      <c r="N89" s="11">
        <f>VLOOKUP(B89,'[1]Wages Sheet'!$B$8:$U$192,20,FALSE)</f>
        <v>9500</v>
      </c>
      <c r="O89" s="11">
        <f>VLOOKUP(B89,'[1]Wages Sheet'!$B$8:$W$192,22,FALSE)</f>
        <v>0</v>
      </c>
      <c r="P89" s="11">
        <f>VLOOKUP(B89,'[1]Wages Sheet'!$B$8:$Z$192,25,FALSE)</f>
        <v>9490.8602150537627</v>
      </c>
      <c r="Q89" s="11">
        <f>VLOOKUP(B89,'[1]Wages Sheet'!$B$8:$AD$192,28,FALSE)</f>
        <v>18990.860215053763</v>
      </c>
      <c r="R89" s="11">
        <f>VLOOKUP(B89,'[1]Wages Sheet'!$B$8:$AD$192,29,FALSE)</f>
        <v>18991</v>
      </c>
      <c r="S89" s="11">
        <f>VLOOKUP(B89,'[1]Wages Sheet'!$B$8:$AF$192,31,FALSE)</f>
        <v>-0.1397849462373415</v>
      </c>
    </row>
    <row r="90" spans="1:19" x14ac:dyDescent="0.3">
      <c r="A90" s="8" t="s">
        <v>13</v>
      </c>
      <c r="B90" s="9" t="s">
        <v>184</v>
      </c>
      <c r="C90" s="9" t="s">
        <v>54</v>
      </c>
      <c r="D90" s="9" t="s">
        <v>108</v>
      </c>
      <c r="E90" s="9" t="s">
        <v>56</v>
      </c>
      <c r="F90" s="10">
        <v>30</v>
      </c>
      <c r="G90" s="10">
        <v>25</v>
      </c>
      <c r="H90" s="10">
        <v>5</v>
      </c>
      <c r="I90" s="10">
        <f>VLOOKUP(B90,'[1]Wages Sheet'!$B$8:$J$192,9,FALSE)</f>
        <v>-3</v>
      </c>
      <c r="J90" s="10">
        <f>SUM(VLOOKUP(B90,'[1]Wages Sheet'!$B$8:$K$192,10,FALSE)+(VLOOKUP(B90,'[1]Wages Sheet'!$B$8:$L$192,11,FALSE)))</f>
        <v>4</v>
      </c>
      <c r="K90" s="10">
        <f>VLOOKUP(B90,'[1]Wages Sheet'!$B$8:$O$192,14,FALSE)</f>
        <v>4</v>
      </c>
      <c r="L90" s="10">
        <f>VLOOKUP(B90,'[1]Wages Sheet'!$B$8:$Q$192,16,FALSE)</f>
        <v>0</v>
      </c>
      <c r="M90" s="11">
        <f>VLOOKUP(B90,'[1]Wages Sheet'!$B$8:$T$193,19,FALSE)</f>
        <v>9500</v>
      </c>
      <c r="N90" s="11">
        <f>VLOOKUP(B90,'[1]Wages Sheet'!$B$8:$U$192,20,FALSE)</f>
        <v>9183.3333333333339</v>
      </c>
      <c r="O90" s="11">
        <f>VLOOKUP(B90,'[1]Wages Sheet'!$B$8:$W$192,22,FALSE)</f>
        <v>0</v>
      </c>
      <c r="P90" s="11">
        <f>VLOOKUP(B90,'[1]Wages Sheet'!$B$8:$Z$192,25,FALSE)</f>
        <v>8581.9615975422385</v>
      </c>
      <c r="Q90" s="11">
        <f>VLOOKUP(B90,'[1]Wages Sheet'!$B$8:$AD$192,28,FALSE)</f>
        <v>17765.294930875571</v>
      </c>
      <c r="R90" s="11">
        <f>VLOOKUP(B90,'[1]Wages Sheet'!$B$8:$AD$192,29,FALSE)</f>
        <v>17766</v>
      </c>
      <c r="S90" s="11">
        <f>VLOOKUP(B90,'[1]Wages Sheet'!$B$8:$AF$192,31,FALSE)</f>
        <v>-0.70506912442942848</v>
      </c>
    </row>
    <row r="91" spans="1:19" x14ac:dyDescent="0.3">
      <c r="A91" s="8" t="s">
        <v>13</v>
      </c>
      <c r="B91" s="9" t="s">
        <v>185</v>
      </c>
      <c r="C91" s="9" t="s">
        <v>54</v>
      </c>
      <c r="D91" s="9" t="s">
        <v>62</v>
      </c>
      <c r="E91" s="9"/>
      <c r="F91" s="10">
        <v>30</v>
      </c>
      <c r="G91" s="10">
        <v>0</v>
      </c>
      <c r="H91" s="10">
        <v>30</v>
      </c>
      <c r="I91" s="10">
        <f>VLOOKUP(B91,'[1]Wages Sheet'!$B$8:$J$192,9,FALSE)</f>
        <v>0</v>
      </c>
      <c r="J91" s="10">
        <f>SUM(VLOOKUP(B91,'[1]Wages Sheet'!$B$8:$K$192,10,FALSE)+(VLOOKUP(B91,'[1]Wages Sheet'!$B$8:$L$192,11,FALSE)))</f>
        <v>0</v>
      </c>
      <c r="K91" s="10">
        <f>VLOOKUP(B91,'[1]Wages Sheet'!$B$8:$O$192,14,FALSE)</f>
        <v>0</v>
      </c>
      <c r="L91" s="10">
        <f>VLOOKUP(B91,'[1]Wages Sheet'!$B$8:$Q$192,16,FALSE)</f>
        <v>0</v>
      </c>
      <c r="M91" s="11">
        <f>VLOOKUP(B91,'[1]Wages Sheet'!$B$8:$T$193,19,FALSE)</f>
        <v>16000</v>
      </c>
      <c r="N91" s="11">
        <f>VLOOKUP(B91,'[1]Wages Sheet'!$B$8:$U$192,20,FALSE)</f>
        <v>0</v>
      </c>
      <c r="O91" s="11">
        <f>VLOOKUP(B91,'[1]Wages Sheet'!$B$8:$W$192,22,FALSE)</f>
        <v>0</v>
      </c>
      <c r="P91" s="11">
        <f>VLOOKUP(B91,'[1]Wages Sheet'!$B$8:$Z$192,25,FALSE)</f>
        <v>8419.1290322580644</v>
      </c>
      <c r="Q91" s="11">
        <f>VLOOKUP(B91,'[1]Wages Sheet'!$B$8:$AD$192,28,FALSE)</f>
        <v>8419.1290322580644</v>
      </c>
      <c r="R91" s="11">
        <f>VLOOKUP(B91,'[1]Wages Sheet'!$B$8:$AD$192,29,FALSE)</f>
        <v>0</v>
      </c>
      <c r="S91" s="11">
        <f>VLOOKUP(B91,'[1]Wages Sheet'!$B$8:$AF$192,31,FALSE)</f>
        <v>8419.1290322580644</v>
      </c>
    </row>
    <row r="92" spans="1:19" x14ac:dyDescent="0.3">
      <c r="A92" s="8" t="s">
        <v>13</v>
      </c>
      <c r="B92" s="9" t="s">
        <v>186</v>
      </c>
      <c r="C92" s="9" t="s">
        <v>54</v>
      </c>
      <c r="D92" s="9" t="s">
        <v>187</v>
      </c>
      <c r="E92" s="9" t="s">
        <v>56</v>
      </c>
      <c r="F92" s="10">
        <v>30</v>
      </c>
      <c r="G92" s="10">
        <v>10</v>
      </c>
      <c r="H92" s="10">
        <v>20</v>
      </c>
      <c r="I92" s="10">
        <f>VLOOKUP(B92,'[1]Wages Sheet'!$B$8:$J$192,9,FALSE)</f>
        <v>0.5</v>
      </c>
      <c r="J92" s="10">
        <f>SUM(VLOOKUP(B92,'[1]Wages Sheet'!$B$8:$K$192,10,FALSE)+(VLOOKUP(B92,'[1]Wages Sheet'!$B$8:$L$192,11,FALSE)))</f>
        <v>1.5</v>
      </c>
      <c r="K92" s="10">
        <f>VLOOKUP(B92,'[1]Wages Sheet'!$B$8:$O$192,14,FALSE)</f>
        <v>2</v>
      </c>
      <c r="L92" s="10">
        <f>VLOOKUP(B92,'[1]Wages Sheet'!$B$8:$Q$192,16,FALSE)</f>
        <v>0</v>
      </c>
      <c r="M92" s="11">
        <f>VLOOKUP(B92,'[1]Wages Sheet'!$B$8:$T$193,19,FALSE)</f>
        <v>10000</v>
      </c>
      <c r="N92" s="11">
        <f>VLOOKUP(B92,'[1]Wages Sheet'!$B$8:$U$192,20,FALSE)</f>
        <v>4000</v>
      </c>
      <c r="O92" s="11">
        <f>VLOOKUP(B92,'[1]Wages Sheet'!$B$8:$W$192,22,FALSE)</f>
        <v>0</v>
      </c>
      <c r="P92" s="11">
        <f>VLOOKUP(B92,'[1]Wages Sheet'!$B$8:$Z$192,25,FALSE)</f>
        <v>9997.6790322580637</v>
      </c>
      <c r="Q92" s="11">
        <f>VLOOKUP(B92,'[1]Wages Sheet'!$B$8:$AD$192,28,FALSE)</f>
        <v>13997.679032258064</v>
      </c>
      <c r="R92" s="11">
        <f>VLOOKUP(B92,'[1]Wages Sheet'!$B$8:$AD$192,29,FALSE)</f>
        <v>14000</v>
      </c>
      <c r="S92" s="11">
        <f>VLOOKUP(B92,'[1]Wages Sheet'!$B$8:$AF$192,31,FALSE)</f>
        <v>-2.3209677419363288</v>
      </c>
    </row>
    <row r="93" spans="1:19" x14ac:dyDescent="0.3">
      <c r="A93" s="8" t="s">
        <v>13</v>
      </c>
      <c r="B93" s="9" t="s">
        <v>188</v>
      </c>
      <c r="C93" s="9" t="s">
        <v>54</v>
      </c>
      <c r="D93" s="9" t="s">
        <v>62</v>
      </c>
      <c r="E93" s="9"/>
      <c r="F93" s="10">
        <v>30</v>
      </c>
      <c r="G93" s="10">
        <v>0</v>
      </c>
      <c r="H93" s="10">
        <v>30</v>
      </c>
      <c r="I93" s="10">
        <f>VLOOKUP(B93,'[1]Wages Sheet'!$B$8:$J$192,9,FALSE)</f>
        <v>0</v>
      </c>
      <c r="J93" s="10">
        <f>SUM(VLOOKUP(B93,'[1]Wages Sheet'!$B$8:$K$192,10,FALSE)+(VLOOKUP(B93,'[1]Wages Sheet'!$B$8:$L$192,11,FALSE)))</f>
        <v>0</v>
      </c>
      <c r="K93" s="10">
        <f>VLOOKUP(B93,'[1]Wages Sheet'!$B$8:$O$192,14,FALSE)</f>
        <v>0</v>
      </c>
      <c r="L93" s="10">
        <f>VLOOKUP(B93,'[1]Wages Sheet'!$B$8:$Q$192,16,FALSE)</f>
        <v>0</v>
      </c>
      <c r="M93" s="11">
        <f>VLOOKUP(B93,'[1]Wages Sheet'!$B$8:$T$193,19,FALSE)</f>
        <v>16000</v>
      </c>
      <c r="N93" s="11">
        <f>VLOOKUP(B93,'[1]Wages Sheet'!$B$8:$U$192,20,FALSE)</f>
        <v>0</v>
      </c>
      <c r="O93" s="11">
        <f>VLOOKUP(B93,'[1]Wages Sheet'!$B$8:$W$192,22,FALSE)</f>
        <v>0</v>
      </c>
      <c r="P93" s="11">
        <f>VLOOKUP(B93,'[1]Wages Sheet'!$B$8:$Z$192,25,FALSE)</f>
        <v>0</v>
      </c>
      <c r="Q93" s="11">
        <f>VLOOKUP(B93,'[1]Wages Sheet'!$B$8:$AD$192,28,FALSE)</f>
        <v>0</v>
      </c>
      <c r="R93" s="11">
        <f>VLOOKUP(B93,'[1]Wages Sheet'!$B$8:$AD$192,29,FALSE)</f>
        <v>0</v>
      </c>
      <c r="S93" s="11">
        <f>VLOOKUP(B93,'[1]Wages Sheet'!$B$8:$AF$192,31,FALSE)</f>
        <v>0</v>
      </c>
    </row>
    <row r="94" spans="1:19" x14ac:dyDescent="0.3">
      <c r="A94" s="8" t="s">
        <v>13</v>
      </c>
      <c r="B94" s="9" t="s">
        <v>189</v>
      </c>
      <c r="C94" s="9" t="s">
        <v>54</v>
      </c>
      <c r="D94" s="9" t="s">
        <v>100</v>
      </c>
      <c r="E94" s="9"/>
      <c r="F94" s="10">
        <v>30</v>
      </c>
      <c r="G94" s="10">
        <v>0</v>
      </c>
      <c r="H94" s="10">
        <v>30</v>
      </c>
      <c r="I94" s="10">
        <f>VLOOKUP(B94,'[1]Wages Sheet'!$B$8:$J$192,9,FALSE)</f>
        <v>0</v>
      </c>
      <c r="J94" s="10">
        <f>SUM(VLOOKUP(B94,'[1]Wages Sheet'!$B$8:$K$192,10,FALSE)+(VLOOKUP(B94,'[1]Wages Sheet'!$B$8:$L$192,11,FALSE)))</f>
        <v>0</v>
      </c>
      <c r="K94" s="10">
        <f>VLOOKUP(B94,'[1]Wages Sheet'!$B$8:$O$192,14,FALSE)</f>
        <v>0</v>
      </c>
      <c r="L94" s="10">
        <f>VLOOKUP(B94,'[1]Wages Sheet'!$B$8:$Q$192,16,FALSE)</f>
        <v>0</v>
      </c>
      <c r="M94" s="11">
        <f>VLOOKUP(B94,'[1]Wages Sheet'!$B$8:$T$193,19,FALSE)</f>
        <v>9000</v>
      </c>
      <c r="N94" s="11">
        <f>VLOOKUP(B94,'[1]Wages Sheet'!$B$8:$U$192,20,FALSE)</f>
        <v>0</v>
      </c>
      <c r="O94" s="11">
        <f>VLOOKUP(B94,'[1]Wages Sheet'!$B$8:$W$192,22,FALSE)</f>
        <v>0</v>
      </c>
      <c r="P94" s="11">
        <f>VLOOKUP(B94,'[1]Wages Sheet'!$B$8:$Z$192,25,FALSE)</f>
        <v>0</v>
      </c>
      <c r="Q94" s="11">
        <f>VLOOKUP(B94,'[1]Wages Sheet'!$B$8:$AD$192,28,FALSE)</f>
        <v>0</v>
      </c>
      <c r="R94" s="11">
        <f>VLOOKUP(B94,'[1]Wages Sheet'!$B$8:$AD$192,29,FALSE)</f>
        <v>0</v>
      </c>
      <c r="S94" s="11">
        <f>VLOOKUP(B94,'[1]Wages Sheet'!$B$8:$AF$192,31,FALSE)</f>
        <v>0</v>
      </c>
    </row>
    <row r="95" spans="1:19" x14ac:dyDescent="0.3">
      <c r="A95" s="8" t="s">
        <v>13</v>
      </c>
      <c r="B95" s="9" t="s">
        <v>190</v>
      </c>
      <c r="C95" s="9" t="s">
        <v>54</v>
      </c>
      <c r="D95" s="9" t="s">
        <v>113</v>
      </c>
      <c r="E95" s="9"/>
      <c r="F95" s="10">
        <v>30</v>
      </c>
      <c r="G95" s="10">
        <v>0</v>
      </c>
      <c r="H95" s="10">
        <v>30</v>
      </c>
      <c r="I95" s="10">
        <f>VLOOKUP(B95,'[1]Wages Sheet'!$B$8:$J$192,9,FALSE)</f>
        <v>0</v>
      </c>
      <c r="J95" s="10">
        <f>SUM(VLOOKUP(B95,'[1]Wages Sheet'!$B$8:$K$192,10,FALSE)+(VLOOKUP(B95,'[1]Wages Sheet'!$B$8:$L$192,11,FALSE)))</f>
        <v>0</v>
      </c>
      <c r="K95" s="10">
        <f>VLOOKUP(B95,'[1]Wages Sheet'!$B$8:$O$192,14,FALSE)</f>
        <v>0</v>
      </c>
      <c r="L95" s="10">
        <f>VLOOKUP(B95,'[1]Wages Sheet'!$B$8:$Q$192,16,FALSE)</f>
        <v>0</v>
      </c>
      <c r="M95" s="11">
        <f>VLOOKUP(B95,'[1]Wages Sheet'!$B$8:$T$193,19,FALSE)</f>
        <v>9000</v>
      </c>
      <c r="N95" s="11">
        <f>VLOOKUP(B95,'[1]Wages Sheet'!$B$8:$U$192,20,FALSE)</f>
        <v>0</v>
      </c>
      <c r="O95" s="11">
        <f>VLOOKUP(B95,'[1]Wages Sheet'!$B$8:$W$192,22,FALSE)</f>
        <v>0</v>
      </c>
      <c r="P95" s="11">
        <f>VLOOKUP(B95,'[1]Wages Sheet'!$B$8:$Z$192,25,FALSE)</f>
        <v>0</v>
      </c>
      <c r="Q95" s="11">
        <f>VLOOKUP(B95,'[1]Wages Sheet'!$B$8:$AD$192,28,FALSE)</f>
        <v>0</v>
      </c>
      <c r="R95" s="11">
        <f>VLOOKUP(B95,'[1]Wages Sheet'!$B$8:$AD$192,29,FALSE)</f>
        <v>0</v>
      </c>
      <c r="S95" s="11">
        <f>VLOOKUP(B95,'[1]Wages Sheet'!$B$8:$AF$192,31,FALSE)</f>
        <v>0</v>
      </c>
    </row>
    <row r="96" spans="1:19" x14ac:dyDescent="0.3">
      <c r="A96" s="8" t="s">
        <v>13</v>
      </c>
      <c r="B96" s="9" t="s">
        <v>191</v>
      </c>
      <c r="C96" s="9" t="s">
        <v>54</v>
      </c>
      <c r="D96" s="9" t="s">
        <v>192</v>
      </c>
      <c r="E96" s="9" t="s">
        <v>56</v>
      </c>
      <c r="F96" s="10">
        <v>30</v>
      </c>
      <c r="G96" s="10">
        <v>26</v>
      </c>
      <c r="H96" s="10">
        <v>4</v>
      </c>
      <c r="I96" s="10">
        <f>VLOOKUP(B96,'[1]Wages Sheet'!$B$8:$J$192,9,FALSE)</f>
        <v>0</v>
      </c>
      <c r="J96" s="10">
        <f>SUM(VLOOKUP(B96,'[1]Wages Sheet'!$B$8:$K$192,10,FALSE)+(VLOOKUP(B96,'[1]Wages Sheet'!$B$8:$L$192,11,FALSE)))</f>
        <v>4</v>
      </c>
      <c r="K96" s="10">
        <f>VLOOKUP(B96,'[1]Wages Sheet'!$B$8:$O$192,14,FALSE)</f>
        <v>4</v>
      </c>
      <c r="L96" s="10">
        <f>VLOOKUP(B96,'[1]Wages Sheet'!$B$8:$Q$192,16,FALSE)</f>
        <v>0</v>
      </c>
      <c r="M96" s="11">
        <f>VLOOKUP(B96,'[1]Wages Sheet'!$B$8:$T$193,19,FALSE)</f>
        <v>10500</v>
      </c>
      <c r="N96" s="11">
        <f>VLOOKUP(B96,'[1]Wages Sheet'!$B$8:$U$192,20,FALSE)</f>
        <v>10500</v>
      </c>
      <c r="O96" s="11">
        <f>VLOOKUP(B96,'[1]Wages Sheet'!$B$8:$W$192,22,FALSE)</f>
        <v>0</v>
      </c>
      <c r="P96" s="11">
        <f>VLOOKUP(B96,'[1]Wages Sheet'!$B$8:$Z$192,25,FALSE)</f>
        <v>10499.956989247308</v>
      </c>
      <c r="Q96" s="11">
        <f>VLOOKUP(B96,'[1]Wages Sheet'!$B$8:$AD$192,28,FALSE)</f>
        <v>20999.956989247308</v>
      </c>
      <c r="R96" s="11">
        <f>VLOOKUP(B96,'[1]Wages Sheet'!$B$8:$AD$192,29,FALSE)</f>
        <v>21000</v>
      </c>
      <c r="S96" s="11">
        <f>VLOOKUP(B96,'[1]Wages Sheet'!$B$8:$AF$192,31,FALSE)</f>
        <v>-4.3010752691770904E-2</v>
      </c>
    </row>
    <row r="97" spans="1:19" x14ac:dyDescent="0.3">
      <c r="A97" s="8" t="s">
        <v>13</v>
      </c>
      <c r="B97" s="9" t="s">
        <v>193</v>
      </c>
      <c r="C97" s="9" t="s">
        <v>54</v>
      </c>
      <c r="D97" s="9" t="s">
        <v>58</v>
      </c>
      <c r="E97" s="9"/>
      <c r="F97" s="10">
        <v>30</v>
      </c>
      <c r="G97" s="10">
        <v>0</v>
      </c>
      <c r="H97" s="10">
        <v>30</v>
      </c>
      <c r="I97" s="10">
        <f>VLOOKUP(B97,'[1]Wages Sheet'!$B$8:$J$192,9,FALSE)</f>
        <v>0</v>
      </c>
      <c r="J97" s="10">
        <f>SUM(VLOOKUP(B97,'[1]Wages Sheet'!$B$8:$K$192,10,FALSE)+(VLOOKUP(B97,'[1]Wages Sheet'!$B$8:$L$192,11,FALSE)))</f>
        <v>0</v>
      </c>
      <c r="K97" s="10">
        <f>VLOOKUP(B97,'[1]Wages Sheet'!$B$8:$O$192,14,FALSE)</f>
        <v>0</v>
      </c>
      <c r="L97" s="10">
        <f>VLOOKUP(B97,'[1]Wages Sheet'!$B$8:$Q$192,16,FALSE)</f>
        <v>0</v>
      </c>
      <c r="M97" s="11">
        <f>VLOOKUP(B97,'[1]Wages Sheet'!$B$8:$T$193,19,FALSE)</f>
        <v>9500</v>
      </c>
      <c r="N97" s="11">
        <f>VLOOKUP(B97,'[1]Wages Sheet'!$B$8:$U$192,20,FALSE)</f>
        <v>0</v>
      </c>
      <c r="O97" s="11">
        <f>VLOOKUP(B97,'[1]Wages Sheet'!$B$8:$W$192,22,FALSE)</f>
        <v>0</v>
      </c>
      <c r="P97" s="11">
        <f>VLOOKUP(B97,'[1]Wages Sheet'!$B$8:$Z$192,25,FALSE)</f>
        <v>917</v>
      </c>
      <c r="Q97" s="11">
        <f>VLOOKUP(B97,'[1]Wages Sheet'!$B$8:$AD$192,28,FALSE)</f>
        <v>917</v>
      </c>
      <c r="R97" s="11">
        <f>VLOOKUP(B97,'[1]Wages Sheet'!$B$8:$AD$192,29,FALSE)</f>
        <v>0</v>
      </c>
      <c r="S97" s="11">
        <f>VLOOKUP(B97,'[1]Wages Sheet'!$B$8:$AF$192,31,FALSE)</f>
        <v>917</v>
      </c>
    </row>
    <row r="98" spans="1:19" x14ac:dyDescent="0.3">
      <c r="A98" s="8" t="s">
        <v>13</v>
      </c>
      <c r="B98" s="9" t="s">
        <v>194</v>
      </c>
      <c r="C98" s="9" t="s">
        <v>54</v>
      </c>
      <c r="D98" s="9" t="s">
        <v>100</v>
      </c>
      <c r="E98" s="9" t="s">
        <v>56</v>
      </c>
      <c r="F98" s="10">
        <v>30</v>
      </c>
      <c r="G98" s="10">
        <v>27</v>
      </c>
      <c r="H98" s="10">
        <v>3</v>
      </c>
      <c r="I98" s="10">
        <f>VLOOKUP(B98,'[1]Wages Sheet'!$B$8:$J$192,9,FALSE)</f>
        <v>0</v>
      </c>
      <c r="J98" s="10">
        <f>SUM(VLOOKUP(B98,'[1]Wages Sheet'!$B$8:$K$192,10,FALSE)+(VLOOKUP(B98,'[1]Wages Sheet'!$B$8:$L$192,11,FALSE)))</f>
        <v>0</v>
      </c>
      <c r="K98" s="10">
        <f>VLOOKUP(B98,'[1]Wages Sheet'!$B$8:$O$192,14,FALSE)</f>
        <v>0</v>
      </c>
      <c r="L98" s="10">
        <f>VLOOKUP(B98,'[1]Wages Sheet'!$B$8:$Q$192,16,FALSE)</f>
        <v>0</v>
      </c>
      <c r="M98" s="11">
        <f>VLOOKUP(B98,'[1]Wages Sheet'!$B$8:$T$193,19,FALSE)</f>
        <v>9000</v>
      </c>
      <c r="N98" s="11">
        <f>VLOOKUP(B98,'[1]Wages Sheet'!$B$8:$U$192,20,FALSE)</f>
        <v>8100</v>
      </c>
      <c r="O98" s="11">
        <f>VLOOKUP(B98,'[1]Wages Sheet'!$B$8:$W$192,22,FALSE)</f>
        <v>0</v>
      </c>
      <c r="P98" s="11">
        <f>VLOOKUP(B98,'[1]Wages Sheet'!$B$8:$Z$192,25,FALSE)</f>
        <v>7836.9481720430122</v>
      </c>
      <c r="Q98" s="11">
        <f>VLOOKUP(B98,'[1]Wages Sheet'!$B$8:$AD$192,28,FALSE)</f>
        <v>15936.948172043012</v>
      </c>
      <c r="R98" s="11">
        <f>VLOOKUP(B98,'[1]Wages Sheet'!$B$8:$AD$192,29,FALSE)</f>
        <v>15940</v>
      </c>
      <c r="S98" s="11">
        <f>VLOOKUP(B98,'[1]Wages Sheet'!$B$8:$AF$192,31,FALSE)</f>
        <v>-3.0518279569878359</v>
      </c>
    </row>
    <row r="99" spans="1:19" x14ac:dyDescent="0.3">
      <c r="A99" s="8" t="s">
        <v>13</v>
      </c>
      <c r="B99" s="9" t="s">
        <v>195</v>
      </c>
      <c r="C99" s="9" t="s">
        <v>54</v>
      </c>
      <c r="D99" s="9" t="s">
        <v>196</v>
      </c>
      <c r="E99" s="9" t="s">
        <v>56</v>
      </c>
      <c r="F99" s="10">
        <v>30</v>
      </c>
      <c r="G99" s="10">
        <v>27</v>
      </c>
      <c r="H99" s="10">
        <v>3</v>
      </c>
      <c r="I99" s="10">
        <f>VLOOKUP(B99,'[1]Wages Sheet'!$B$8:$J$192,9,FALSE)</f>
        <v>0</v>
      </c>
      <c r="J99" s="10">
        <f>SUM(VLOOKUP(B99,'[1]Wages Sheet'!$B$8:$K$192,10,FALSE)+(VLOOKUP(B99,'[1]Wages Sheet'!$B$8:$L$192,11,FALSE)))</f>
        <v>4</v>
      </c>
      <c r="K99" s="10">
        <f>VLOOKUP(B99,'[1]Wages Sheet'!$B$8:$O$192,14,FALSE)</f>
        <v>3</v>
      </c>
      <c r="L99" s="10">
        <f>VLOOKUP(B99,'[1]Wages Sheet'!$B$8:$Q$192,16,FALSE)</f>
        <v>1</v>
      </c>
      <c r="M99" s="11">
        <f>VLOOKUP(B99,'[1]Wages Sheet'!$B$8:$T$193,19,FALSE)</f>
        <v>11000</v>
      </c>
      <c r="N99" s="11">
        <f>VLOOKUP(B99,'[1]Wages Sheet'!$B$8:$U$192,20,FALSE)</f>
        <v>11000</v>
      </c>
      <c r="O99" s="11">
        <f>VLOOKUP(B99,'[1]Wages Sheet'!$B$8:$W$192,22,FALSE)</f>
        <v>0</v>
      </c>
      <c r="P99" s="11">
        <f>VLOOKUP(B99,'[1]Wages Sheet'!$B$8:$Z$192,25,FALSE)</f>
        <v>10998.998709677417</v>
      </c>
      <c r="Q99" s="11">
        <f>VLOOKUP(B99,'[1]Wages Sheet'!$B$8:$AD$192,28,FALSE)</f>
        <v>21998.998709677417</v>
      </c>
      <c r="R99" s="11">
        <f>VLOOKUP(B99,'[1]Wages Sheet'!$B$8:$AD$192,29,FALSE)</f>
        <v>22000</v>
      </c>
      <c r="S99" s="11">
        <f>VLOOKUP(B99,'[1]Wages Sheet'!$B$8:$AF$192,31,FALSE)</f>
        <v>-1.0012903225833725</v>
      </c>
    </row>
    <row r="100" spans="1:19" x14ac:dyDescent="0.3">
      <c r="A100" s="8" t="s">
        <v>13</v>
      </c>
      <c r="B100" s="9" t="s">
        <v>197</v>
      </c>
      <c r="C100" s="9" t="s">
        <v>54</v>
      </c>
      <c r="D100" s="9" t="s">
        <v>55</v>
      </c>
      <c r="E100" s="9"/>
      <c r="F100" s="10">
        <v>30</v>
      </c>
      <c r="G100" s="10">
        <v>0</v>
      </c>
      <c r="H100" s="10">
        <v>30</v>
      </c>
      <c r="I100" s="10">
        <f>VLOOKUP(B100,'[1]Wages Sheet'!$B$8:$J$192,9,FALSE)</f>
        <v>0</v>
      </c>
      <c r="J100" s="10">
        <f>SUM(VLOOKUP(B100,'[1]Wages Sheet'!$B$8:$K$192,10,FALSE)+(VLOOKUP(B100,'[1]Wages Sheet'!$B$8:$L$192,11,FALSE)))</f>
        <v>0</v>
      </c>
      <c r="K100" s="10">
        <f>VLOOKUP(B100,'[1]Wages Sheet'!$B$8:$O$192,14,FALSE)</f>
        <v>0</v>
      </c>
      <c r="L100" s="10">
        <f>VLOOKUP(B100,'[1]Wages Sheet'!$B$8:$Q$192,16,FALSE)</f>
        <v>0</v>
      </c>
      <c r="M100" s="11">
        <f>VLOOKUP(B100,'[1]Wages Sheet'!$B$8:$T$193,19,FALSE)</f>
        <v>12000</v>
      </c>
      <c r="N100" s="11">
        <f>VLOOKUP(B100,'[1]Wages Sheet'!$B$8:$U$192,20,FALSE)</f>
        <v>0</v>
      </c>
      <c r="O100" s="11">
        <f>VLOOKUP(B100,'[1]Wages Sheet'!$B$8:$W$192,22,FALSE)</f>
        <v>0</v>
      </c>
      <c r="P100" s="11">
        <f>VLOOKUP(B100,'[1]Wages Sheet'!$B$8:$Z$192,25,FALSE)</f>
        <v>0</v>
      </c>
      <c r="Q100" s="11">
        <f>VLOOKUP(B100,'[1]Wages Sheet'!$B$8:$AD$192,28,FALSE)</f>
        <v>0</v>
      </c>
      <c r="R100" s="11">
        <f>VLOOKUP(B100,'[1]Wages Sheet'!$B$8:$AD$192,29,FALSE)</f>
        <v>0</v>
      </c>
      <c r="S100" s="11">
        <f>VLOOKUP(B100,'[1]Wages Sheet'!$B$8:$AF$192,31,FALSE)</f>
        <v>0</v>
      </c>
    </row>
    <row r="101" spans="1:19" x14ac:dyDescent="0.3">
      <c r="A101" s="8" t="s">
        <v>13</v>
      </c>
      <c r="B101" s="9" t="s">
        <v>198</v>
      </c>
      <c r="C101" s="9" t="s">
        <v>54</v>
      </c>
      <c r="D101" s="9" t="s">
        <v>100</v>
      </c>
      <c r="E101" s="9" t="s">
        <v>56</v>
      </c>
      <c r="F101" s="10">
        <v>30</v>
      </c>
      <c r="G101" s="10">
        <v>30</v>
      </c>
      <c r="H101" s="10">
        <v>0</v>
      </c>
      <c r="I101" s="10">
        <f>VLOOKUP(B101,'[1]Wages Sheet'!$B$8:$J$192,9,FALSE)</f>
        <v>0</v>
      </c>
      <c r="J101" s="10">
        <f>SUM(VLOOKUP(B101,'[1]Wages Sheet'!$B$8:$K$192,10,FALSE)+(VLOOKUP(B101,'[1]Wages Sheet'!$B$8:$L$192,11,FALSE)))</f>
        <v>0</v>
      </c>
      <c r="K101" s="10">
        <f>VLOOKUP(B101,'[1]Wages Sheet'!$B$8:$O$192,14,FALSE)</f>
        <v>0</v>
      </c>
      <c r="L101" s="10">
        <f>VLOOKUP(B101,'[1]Wages Sheet'!$B$8:$Q$192,16,FALSE)</f>
        <v>0</v>
      </c>
      <c r="M101" s="11">
        <f>VLOOKUP(B101,'[1]Wages Sheet'!$B$8:$T$193,19,FALSE)</f>
        <v>9000</v>
      </c>
      <c r="N101" s="11">
        <f>VLOOKUP(B101,'[1]Wages Sheet'!$B$8:$U$192,20,FALSE)</f>
        <v>9000</v>
      </c>
      <c r="O101" s="11">
        <f>VLOOKUP(B101,'[1]Wages Sheet'!$B$8:$W$192,22,FALSE)</f>
        <v>0</v>
      </c>
      <c r="P101" s="11">
        <f>VLOOKUP(B101,'[1]Wages Sheet'!$B$8:$Z$192,25,FALSE)</f>
        <v>8419.1321044546894</v>
      </c>
      <c r="Q101" s="11">
        <f>VLOOKUP(B101,'[1]Wages Sheet'!$B$8:$AD$192,28,FALSE)</f>
        <v>17419.132104454689</v>
      </c>
      <c r="R101" s="11">
        <f>VLOOKUP(B101,'[1]Wages Sheet'!$B$8:$AD$192,29,FALSE)</f>
        <v>17420</v>
      </c>
      <c r="S101" s="11">
        <f>VLOOKUP(B101,'[1]Wages Sheet'!$B$8:$AF$192,31,FALSE)</f>
        <v>-0.86789554531060276</v>
      </c>
    </row>
    <row r="102" spans="1:19" x14ac:dyDescent="0.3">
      <c r="A102" s="8" t="s">
        <v>13</v>
      </c>
      <c r="B102" s="9" t="s">
        <v>199</v>
      </c>
      <c r="C102" s="9" t="s">
        <v>54</v>
      </c>
      <c r="D102" s="9" t="s">
        <v>55</v>
      </c>
      <c r="E102" s="9"/>
      <c r="F102" s="10">
        <v>30</v>
      </c>
      <c r="G102" s="10">
        <v>0</v>
      </c>
      <c r="H102" s="10">
        <v>30</v>
      </c>
      <c r="I102" s="10">
        <f>VLOOKUP(B102,'[1]Wages Sheet'!$B$8:$J$192,9,FALSE)</f>
        <v>0</v>
      </c>
      <c r="J102" s="10">
        <f>SUM(VLOOKUP(B102,'[1]Wages Sheet'!$B$8:$K$192,10,FALSE)+(VLOOKUP(B102,'[1]Wages Sheet'!$B$8:$L$192,11,FALSE)))</f>
        <v>0</v>
      </c>
      <c r="K102" s="10">
        <f>VLOOKUP(B102,'[1]Wages Sheet'!$B$8:$O$192,14,FALSE)</f>
        <v>0</v>
      </c>
      <c r="L102" s="10">
        <f>VLOOKUP(B102,'[1]Wages Sheet'!$B$8:$Q$192,16,FALSE)</f>
        <v>0</v>
      </c>
      <c r="M102" s="11">
        <f>VLOOKUP(B102,'[1]Wages Sheet'!$B$8:$T$193,19,FALSE)</f>
        <v>10000</v>
      </c>
      <c r="N102" s="11">
        <f>VLOOKUP(B102,'[1]Wages Sheet'!$B$8:$U$192,20,FALSE)</f>
        <v>0</v>
      </c>
      <c r="O102" s="11">
        <f>VLOOKUP(B102,'[1]Wages Sheet'!$B$8:$W$192,22,FALSE)</f>
        <v>0</v>
      </c>
      <c r="P102" s="11">
        <f>VLOOKUP(B102,'[1]Wages Sheet'!$B$8:$Z$192,25,FALSE)</f>
        <v>0</v>
      </c>
      <c r="Q102" s="11">
        <f>VLOOKUP(B102,'[1]Wages Sheet'!$B$8:$AD$192,28,FALSE)</f>
        <v>0</v>
      </c>
      <c r="R102" s="11">
        <f>VLOOKUP(B102,'[1]Wages Sheet'!$B$8:$AD$192,29,FALSE)</f>
        <v>0</v>
      </c>
      <c r="S102" s="11">
        <f>VLOOKUP(B102,'[1]Wages Sheet'!$B$8:$AF$192,31,FALSE)</f>
        <v>0</v>
      </c>
    </row>
    <row r="103" spans="1:19" x14ac:dyDescent="0.3">
      <c r="A103" s="8" t="s">
        <v>13</v>
      </c>
      <c r="B103" s="9" t="s">
        <v>200</v>
      </c>
      <c r="C103" s="9" t="s">
        <v>54</v>
      </c>
      <c r="D103" s="9" t="s">
        <v>113</v>
      </c>
      <c r="E103" s="9"/>
      <c r="F103" s="10">
        <v>30</v>
      </c>
      <c r="G103" s="10">
        <v>0</v>
      </c>
      <c r="H103" s="10">
        <v>30</v>
      </c>
      <c r="I103" s="10">
        <f>VLOOKUP(B103,'[1]Wages Sheet'!$B$8:$J$192,9,FALSE)</f>
        <v>0</v>
      </c>
      <c r="J103" s="10">
        <f>SUM(VLOOKUP(B103,'[1]Wages Sheet'!$B$8:$K$192,10,FALSE)+(VLOOKUP(B103,'[1]Wages Sheet'!$B$8:$L$192,11,FALSE)))</f>
        <v>0</v>
      </c>
      <c r="K103" s="10">
        <f>VLOOKUP(B103,'[1]Wages Sheet'!$B$8:$O$192,14,FALSE)</f>
        <v>0</v>
      </c>
      <c r="L103" s="10">
        <f>VLOOKUP(B103,'[1]Wages Sheet'!$B$8:$Q$192,16,FALSE)</f>
        <v>0</v>
      </c>
      <c r="M103" s="11">
        <f>VLOOKUP(B103,'[1]Wages Sheet'!$B$8:$T$193,19,FALSE)</f>
        <v>9500</v>
      </c>
      <c r="N103" s="11">
        <f>VLOOKUP(B103,'[1]Wages Sheet'!$B$8:$U$192,20,FALSE)</f>
        <v>0</v>
      </c>
      <c r="O103" s="11">
        <f>VLOOKUP(B103,'[1]Wages Sheet'!$B$8:$W$192,22,FALSE)</f>
        <v>0</v>
      </c>
      <c r="P103" s="11">
        <f>VLOOKUP(B103,'[1]Wages Sheet'!$B$8:$Z$192,25,FALSE)</f>
        <v>0</v>
      </c>
      <c r="Q103" s="11">
        <f>VLOOKUP(B103,'[1]Wages Sheet'!$B$8:$AD$192,28,FALSE)</f>
        <v>0</v>
      </c>
      <c r="R103" s="11">
        <f>VLOOKUP(B103,'[1]Wages Sheet'!$B$8:$AD$192,29,FALSE)</f>
        <v>0</v>
      </c>
      <c r="S103" s="11">
        <f>VLOOKUP(B103,'[1]Wages Sheet'!$B$8:$AF$192,31,FALSE)</f>
        <v>0</v>
      </c>
    </row>
    <row r="104" spans="1:19" x14ac:dyDescent="0.3">
      <c r="A104" s="8" t="s">
        <v>13</v>
      </c>
      <c r="B104" s="9" t="s">
        <v>201</v>
      </c>
      <c r="C104" s="9" t="s">
        <v>54</v>
      </c>
      <c r="D104" s="9" t="s">
        <v>202</v>
      </c>
      <c r="E104" s="9"/>
      <c r="F104" s="10">
        <v>30</v>
      </c>
      <c r="G104" s="10">
        <v>0</v>
      </c>
      <c r="H104" s="10">
        <v>30</v>
      </c>
      <c r="I104" s="10">
        <f>VLOOKUP(B104,'[1]Wages Sheet'!$B$8:$J$192,9,FALSE)</f>
        <v>0</v>
      </c>
      <c r="J104" s="10">
        <f>SUM(VLOOKUP(B104,'[1]Wages Sheet'!$B$8:$K$192,10,FALSE)+(VLOOKUP(B104,'[1]Wages Sheet'!$B$8:$L$192,11,FALSE)))</f>
        <v>0</v>
      </c>
      <c r="K104" s="10">
        <f>VLOOKUP(B104,'[1]Wages Sheet'!$B$8:$O$192,14,FALSE)</f>
        <v>0</v>
      </c>
      <c r="L104" s="10">
        <f>VLOOKUP(B104,'[1]Wages Sheet'!$B$8:$Q$192,16,FALSE)</f>
        <v>0</v>
      </c>
      <c r="M104" s="11">
        <f>VLOOKUP(B104,'[1]Wages Sheet'!$B$8:$T$193,19,FALSE)</f>
        <v>15000</v>
      </c>
      <c r="N104" s="11">
        <f>VLOOKUP(B104,'[1]Wages Sheet'!$B$8:$U$192,20,FALSE)</f>
        <v>0</v>
      </c>
      <c r="O104" s="11">
        <f>VLOOKUP(B104,'[1]Wages Sheet'!$B$8:$W$192,22,FALSE)</f>
        <v>1.9354838709678006</v>
      </c>
      <c r="P104" s="11">
        <f>VLOOKUP(B104,'[1]Wages Sheet'!$B$8:$Z$192,25,FALSE)</f>
        <v>0</v>
      </c>
      <c r="Q104" s="11">
        <f>VLOOKUP(B104,'[1]Wages Sheet'!$B$8:$AD$192,28,FALSE)</f>
        <v>-1.9354838709678006</v>
      </c>
      <c r="R104" s="11">
        <f>VLOOKUP(B104,'[1]Wages Sheet'!$B$8:$AD$192,29,FALSE)</f>
        <v>0</v>
      </c>
      <c r="S104" s="11">
        <f>VLOOKUP(B104,'[1]Wages Sheet'!$B$8:$AF$192,31,FALSE)</f>
        <v>-1.9354838709678006</v>
      </c>
    </row>
    <row r="105" spans="1:19" x14ac:dyDescent="0.3">
      <c r="A105" s="8" t="s">
        <v>13</v>
      </c>
      <c r="B105" s="9" t="s">
        <v>203</v>
      </c>
      <c r="C105" s="9" t="s">
        <v>54</v>
      </c>
      <c r="D105" s="9" t="s">
        <v>58</v>
      </c>
      <c r="E105" s="9" t="s">
        <v>204</v>
      </c>
      <c r="F105" s="10">
        <v>30</v>
      </c>
      <c r="G105" s="10">
        <v>23</v>
      </c>
      <c r="H105" s="10">
        <v>7</v>
      </c>
      <c r="I105" s="10">
        <f>VLOOKUP(B105,'[1]Wages Sheet'!$B$8:$J$192,9,FALSE)</f>
        <v>4</v>
      </c>
      <c r="J105" s="10">
        <f>SUM(VLOOKUP(B105,'[1]Wages Sheet'!$B$8:$K$192,10,FALSE)+(VLOOKUP(B105,'[1]Wages Sheet'!$B$8:$L$192,11,FALSE)))</f>
        <v>3</v>
      </c>
      <c r="K105" s="10">
        <f>VLOOKUP(B105,'[1]Wages Sheet'!$B$8:$O$192,14,FALSE)</f>
        <v>0</v>
      </c>
      <c r="L105" s="10">
        <f>VLOOKUP(B105,'[1]Wages Sheet'!$B$8:$Q$192,16,FALSE)</f>
        <v>0</v>
      </c>
      <c r="M105" s="11">
        <f>VLOOKUP(B105,'[1]Wages Sheet'!$B$8:$T$193,19,FALSE)</f>
        <v>9500</v>
      </c>
      <c r="N105" s="11">
        <f>VLOOKUP(B105,'[1]Wages Sheet'!$B$8:$U$192,20,FALSE)</f>
        <v>9500</v>
      </c>
      <c r="O105" s="11">
        <f>VLOOKUP(B105,'[1]Wages Sheet'!$B$8:$W$192,22,FALSE)</f>
        <v>0</v>
      </c>
      <c r="P105" s="11">
        <f>VLOOKUP(B105,'[1]Wages Sheet'!$B$8:$Z$192,25,FALSE)</f>
        <v>9500.3548387096744</v>
      </c>
      <c r="Q105" s="11">
        <f>VLOOKUP(B105,'[1]Wages Sheet'!$B$8:$AD$192,28,FALSE)</f>
        <v>19000.354838709674</v>
      </c>
      <c r="R105" s="11">
        <f>VLOOKUP(B105,'[1]Wages Sheet'!$B$8:$AD$192,29,FALSE)</f>
        <v>19000</v>
      </c>
      <c r="S105" s="11">
        <f>VLOOKUP(B105,'[1]Wages Sheet'!$B$8:$AF$192,31,FALSE)</f>
        <v>0.35483870967436815</v>
      </c>
    </row>
    <row r="106" spans="1:19" x14ac:dyDescent="0.3">
      <c r="A106" s="8" t="s">
        <v>13</v>
      </c>
      <c r="B106" s="9" t="s">
        <v>205</v>
      </c>
      <c r="C106" s="9" t="s">
        <v>64</v>
      </c>
      <c r="D106" s="9" t="s">
        <v>55</v>
      </c>
      <c r="E106" s="9" t="s">
        <v>92</v>
      </c>
      <c r="F106" s="10">
        <v>30</v>
      </c>
      <c r="G106" s="10">
        <v>29</v>
      </c>
      <c r="H106" s="10">
        <v>1</v>
      </c>
      <c r="I106" s="10">
        <f>VLOOKUP(B106,'[1]Wages Sheet'!$B$8:$J$192,9,FALSE)</f>
        <v>1</v>
      </c>
      <c r="J106" s="10">
        <f>SUM(VLOOKUP(B106,'[1]Wages Sheet'!$B$8:$K$192,10,FALSE)+(VLOOKUP(B106,'[1]Wages Sheet'!$B$8:$L$192,11,FALSE)))</f>
        <v>4</v>
      </c>
      <c r="K106" s="10">
        <f>VLOOKUP(B106,'[1]Wages Sheet'!$B$8:$O$192,14,FALSE)</f>
        <v>0</v>
      </c>
      <c r="L106" s="10">
        <f>VLOOKUP(B106,'[1]Wages Sheet'!$B$8:$Q$192,16,FALSE)</f>
        <v>4</v>
      </c>
      <c r="M106" s="11">
        <f>VLOOKUP(B106,'[1]Wages Sheet'!$B$8:$T$193,19,FALSE)</f>
        <v>14500</v>
      </c>
      <c r="N106" s="11">
        <f>VLOOKUP(B106,'[1]Wages Sheet'!$B$8:$U$192,20,FALSE)</f>
        <v>14500</v>
      </c>
      <c r="O106" s="11">
        <f>VLOOKUP(B106,'[1]Wages Sheet'!$B$8:$W$192,22,FALSE)</f>
        <v>0</v>
      </c>
      <c r="P106" s="11">
        <f>VLOOKUP(B106,'[1]Wages Sheet'!$B$8:$Z$192,25,FALSE)</f>
        <v>14480</v>
      </c>
      <c r="Q106" s="11">
        <f>VLOOKUP(B106,'[1]Wages Sheet'!$B$8:$AD$192,28,FALSE)</f>
        <v>28980</v>
      </c>
      <c r="R106" s="11">
        <f>VLOOKUP(B106,'[1]Wages Sheet'!$B$8:$AD$192,29,FALSE)</f>
        <v>29000</v>
      </c>
      <c r="S106" s="11">
        <f>VLOOKUP(B106,'[1]Wages Sheet'!$B$8:$AF$192,31,FALSE)</f>
        <v>-20</v>
      </c>
    </row>
    <row r="107" spans="1:19" x14ac:dyDescent="0.3">
      <c r="A107" s="8" t="s">
        <v>13</v>
      </c>
      <c r="B107" s="9" t="s">
        <v>206</v>
      </c>
      <c r="C107" s="9" t="s">
        <v>64</v>
      </c>
      <c r="D107" s="9" t="s">
        <v>207</v>
      </c>
      <c r="E107" s="9" t="s">
        <v>56</v>
      </c>
      <c r="F107" s="10">
        <v>30</v>
      </c>
      <c r="G107" s="10">
        <v>28</v>
      </c>
      <c r="H107" s="10">
        <v>2</v>
      </c>
      <c r="I107" s="10">
        <f>VLOOKUP(B107,'[1]Wages Sheet'!$B$8:$J$192,9,FALSE)</f>
        <v>-13</v>
      </c>
      <c r="J107" s="10">
        <f>SUM(VLOOKUP(B107,'[1]Wages Sheet'!$B$8:$K$192,10,FALSE)+(VLOOKUP(B107,'[1]Wages Sheet'!$B$8:$L$192,11,FALSE)))</f>
        <v>4</v>
      </c>
      <c r="K107" s="10">
        <f>VLOOKUP(B107,'[1]Wages Sheet'!$B$8:$O$192,14,FALSE)</f>
        <v>2</v>
      </c>
      <c r="L107" s="10">
        <f>VLOOKUP(B107,'[1]Wages Sheet'!$B$8:$Q$192,16,FALSE)</f>
        <v>2</v>
      </c>
      <c r="M107" s="11">
        <f>VLOOKUP(B107,'[1]Wages Sheet'!$B$8:$T$193,19,FALSE)</f>
        <v>17500</v>
      </c>
      <c r="N107" s="11">
        <f>VLOOKUP(B107,'[1]Wages Sheet'!$B$8:$U$192,20,FALSE)</f>
        <v>17500</v>
      </c>
      <c r="O107" s="11">
        <f>VLOOKUP(B107,'[1]Wages Sheet'!$B$8:$W$192,22,FALSE)</f>
        <v>0</v>
      </c>
      <c r="P107" s="11">
        <f>VLOOKUP(B107,'[1]Wages Sheet'!$B$8:$Z$192,25,FALSE)</f>
        <v>0</v>
      </c>
      <c r="Q107" s="11">
        <f>VLOOKUP(B107,'[1]Wages Sheet'!$B$8:$AD$192,28,FALSE)</f>
        <v>17500</v>
      </c>
      <c r="R107" s="11">
        <f>VLOOKUP(B107,'[1]Wages Sheet'!$B$8:$AD$192,29,FALSE)</f>
        <v>17500</v>
      </c>
      <c r="S107" s="11">
        <f>VLOOKUP(B107,'[1]Wages Sheet'!$B$8:$AF$192,31,FALSE)</f>
        <v>0</v>
      </c>
    </row>
    <row r="108" spans="1:19" x14ac:dyDescent="0.3">
      <c r="A108" s="8" t="s">
        <v>13</v>
      </c>
      <c r="B108" s="9" t="s">
        <v>208</v>
      </c>
      <c r="C108" s="9" t="s">
        <v>64</v>
      </c>
      <c r="D108" s="9" t="s">
        <v>110</v>
      </c>
      <c r="E108" s="9" t="s">
        <v>56</v>
      </c>
      <c r="F108" s="10">
        <v>30</v>
      </c>
      <c r="G108" s="10">
        <v>9</v>
      </c>
      <c r="H108" s="10">
        <v>21</v>
      </c>
      <c r="I108" s="10">
        <f>VLOOKUP(B108,'[1]Wages Sheet'!$B$8:$J$192,9,FALSE)</f>
        <v>0</v>
      </c>
      <c r="J108" s="10">
        <f>SUM(VLOOKUP(B108,'[1]Wages Sheet'!$B$8:$K$192,10,FALSE)+(VLOOKUP(B108,'[1]Wages Sheet'!$B$8:$L$192,11,FALSE)))</f>
        <v>0</v>
      </c>
      <c r="K108" s="10">
        <f>VLOOKUP(B108,'[1]Wages Sheet'!$B$8:$O$192,14,FALSE)</f>
        <v>0</v>
      </c>
      <c r="L108" s="10">
        <f>VLOOKUP(B108,'[1]Wages Sheet'!$B$8:$Q$192,16,FALSE)</f>
        <v>0</v>
      </c>
      <c r="M108" s="11">
        <f>VLOOKUP(B108,'[1]Wages Sheet'!$B$8:$T$193,19,FALSE)</f>
        <v>19000</v>
      </c>
      <c r="N108" s="11">
        <f>VLOOKUP(B108,'[1]Wages Sheet'!$B$8:$U$192,20,FALSE)</f>
        <v>5700</v>
      </c>
      <c r="O108" s="11">
        <f>VLOOKUP(B108,'[1]Wages Sheet'!$B$8:$W$192,22,FALSE)</f>
        <v>11892.963225806448</v>
      </c>
      <c r="P108" s="11">
        <f>VLOOKUP(B108,'[1]Wages Sheet'!$B$8:$Z$192,25,FALSE)</f>
        <v>0</v>
      </c>
      <c r="Q108" s="11">
        <f>VLOOKUP(B108,'[1]Wages Sheet'!$B$8:$AD$192,28,FALSE)</f>
        <v>-6192.9632258064485</v>
      </c>
      <c r="R108" s="11">
        <f>VLOOKUP(B108,'[1]Wages Sheet'!$B$8:$AD$192,29,FALSE)</f>
        <v>0</v>
      </c>
      <c r="S108" s="11">
        <f>VLOOKUP(B108,'[1]Wages Sheet'!$B$8:$AF$192,31,FALSE)</f>
        <v>-6192.9632258064485</v>
      </c>
    </row>
    <row r="109" spans="1:19" x14ac:dyDescent="0.3">
      <c r="A109" s="8" t="s">
        <v>13</v>
      </c>
      <c r="B109" s="9" t="s">
        <v>209</v>
      </c>
      <c r="C109" s="9" t="s">
        <v>54</v>
      </c>
      <c r="D109" s="9" t="s">
        <v>88</v>
      </c>
      <c r="E109" s="9" t="s">
        <v>210</v>
      </c>
      <c r="F109" s="10">
        <v>30</v>
      </c>
      <c r="G109" s="10">
        <v>24</v>
      </c>
      <c r="H109" s="10">
        <v>6</v>
      </c>
      <c r="I109" s="10">
        <f>VLOOKUP(B109,'[1]Wages Sheet'!$B$8:$J$192,9,FALSE)</f>
        <v>4</v>
      </c>
      <c r="J109" s="10">
        <f>SUM(VLOOKUP(B109,'[1]Wages Sheet'!$B$8:$K$192,10,FALSE)+(VLOOKUP(B109,'[1]Wages Sheet'!$B$8:$L$192,11,FALSE)))</f>
        <v>3</v>
      </c>
      <c r="K109" s="10">
        <f>VLOOKUP(B109,'[1]Wages Sheet'!$B$8:$O$192,14,FALSE)</f>
        <v>0</v>
      </c>
      <c r="L109" s="10">
        <f>VLOOKUP(B109,'[1]Wages Sheet'!$B$8:$Q$192,16,FALSE)</f>
        <v>1</v>
      </c>
      <c r="M109" s="11">
        <f>VLOOKUP(B109,'[1]Wages Sheet'!$B$8:$T$193,19,FALSE)</f>
        <v>12000</v>
      </c>
      <c r="N109" s="11">
        <f>VLOOKUP(B109,'[1]Wages Sheet'!$B$8:$U$192,20,FALSE)</f>
        <v>12000</v>
      </c>
      <c r="O109" s="11">
        <f>VLOOKUP(B109,'[1]Wages Sheet'!$B$8:$W$192,22,FALSE)</f>
        <v>0</v>
      </c>
      <c r="P109" s="11">
        <f>VLOOKUP(B109,'[1]Wages Sheet'!$B$8:$Z$192,25,FALSE)</f>
        <v>12000</v>
      </c>
      <c r="Q109" s="11">
        <f>VLOOKUP(B109,'[1]Wages Sheet'!$B$8:$AD$192,28,FALSE)</f>
        <v>24000</v>
      </c>
      <c r="R109" s="11">
        <f>VLOOKUP(B109,'[1]Wages Sheet'!$B$8:$AD$192,29,FALSE)</f>
        <v>24000</v>
      </c>
      <c r="S109" s="11">
        <f>VLOOKUP(B109,'[1]Wages Sheet'!$B$8:$AF$192,31,FALSE)</f>
        <v>0</v>
      </c>
    </row>
    <row r="110" spans="1:19" x14ac:dyDescent="0.3">
      <c r="A110" s="8" t="s">
        <v>13</v>
      </c>
      <c r="B110" s="9" t="s">
        <v>211</v>
      </c>
      <c r="C110" s="9" t="s">
        <v>54</v>
      </c>
      <c r="D110" s="9" t="s">
        <v>62</v>
      </c>
      <c r="E110" s="9" t="s">
        <v>119</v>
      </c>
      <c r="F110" s="10">
        <v>30</v>
      </c>
      <c r="G110" s="10">
        <v>30</v>
      </c>
      <c r="H110" s="10">
        <v>0</v>
      </c>
      <c r="I110" s="10">
        <f>VLOOKUP(B110,'[1]Wages Sheet'!$B$8:$J$192,9,FALSE)</f>
        <v>1</v>
      </c>
      <c r="J110" s="10">
        <f>SUM(VLOOKUP(B110,'[1]Wages Sheet'!$B$8:$K$192,10,FALSE)+(VLOOKUP(B110,'[1]Wages Sheet'!$B$8:$L$192,11,FALSE)))</f>
        <v>4</v>
      </c>
      <c r="K110" s="10">
        <f>VLOOKUP(B110,'[1]Wages Sheet'!$B$8:$O$192,14,FALSE)</f>
        <v>0</v>
      </c>
      <c r="L110" s="10">
        <f>VLOOKUP(B110,'[1]Wages Sheet'!$B$8:$Q$192,16,FALSE)</f>
        <v>5</v>
      </c>
      <c r="M110" s="11">
        <f>VLOOKUP(B110,'[1]Wages Sheet'!$B$8:$T$193,19,FALSE)</f>
        <v>16000</v>
      </c>
      <c r="N110" s="11">
        <f>VLOOKUP(B110,'[1]Wages Sheet'!$B$8:$U$192,20,FALSE)</f>
        <v>16000.000000000002</v>
      </c>
      <c r="O110" s="11">
        <f>VLOOKUP(B110,'[1]Wages Sheet'!$B$8:$W$192,22,FALSE)</f>
        <v>0</v>
      </c>
      <c r="P110" s="11">
        <f>VLOOKUP(B110,'[1]Wages Sheet'!$B$8:$Z$192,25,FALSE)</f>
        <v>15999.645161290326</v>
      </c>
      <c r="Q110" s="11">
        <f>VLOOKUP(B110,'[1]Wages Sheet'!$B$8:$AD$192,28,FALSE)</f>
        <v>31999.645161290326</v>
      </c>
      <c r="R110" s="11">
        <f>VLOOKUP(B110,'[1]Wages Sheet'!$B$8:$AD$192,29,FALSE)</f>
        <v>32000</v>
      </c>
      <c r="S110" s="11">
        <f>VLOOKUP(B110,'[1]Wages Sheet'!$B$8:$AF$192,31,FALSE)</f>
        <v>-0.35483870967436815</v>
      </c>
    </row>
    <row r="111" spans="1:19" x14ac:dyDescent="0.3">
      <c r="A111" s="8" t="s">
        <v>13</v>
      </c>
      <c r="B111" s="9" t="s">
        <v>212</v>
      </c>
      <c r="C111" s="9" t="s">
        <v>54</v>
      </c>
      <c r="D111" s="9" t="s">
        <v>192</v>
      </c>
      <c r="E111" s="9"/>
      <c r="F111" s="10">
        <v>30</v>
      </c>
      <c r="G111" s="10">
        <v>0</v>
      </c>
      <c r="H111" s="10">
        <v>30</v>
      </c>
      <c r="I111" s="10">
        <f>VLOOKUP(B111,'[1]Wages Sheet'!$B$8:$J$192,9,FALSE)</f>
        <v>0</v>
      </c>
      <c r="J111" s="10">
        <f>SUM(VLOOKUP(B111,'[1]Wages Sheet'!$B$8:$K$192,10,FALSE)+(VLOOKUP(B111,'[1]Wages Sheet'!$B$8:$L$192,11,FALSE)))</f>
        <v>0</v>
      </c>
      <c r="K111" s="10">
        <f>VLOOKUP(B111,'[1]Wages Sheet'!$B$8:$O$192,14,FALSE)</f>
        <v>0</v>
      </c>
      <c r="L111" s="10">
        <f>VLOOKUP(B111,'[1]Wages Sheet'!$B$8:$Q$192,16,FALSE)</f>
        <v>0</v>
      </c>
      <c r="M111" s="11">
        <f>VLOOKUP(B111,'[1]Wages Sheet'!$B$8:$T$193,19,FALSE)</f>
        <v>9500</v>
      </c>
      <c r="N111" s="11">
        <f>VLOOKUP(B111,'[1]Wages Sheet'!$B$8:$U$192,20,FALSE)</f>
        <v>0</v>
      </c>
      <c r="O111" s="11">
        <f>VLOOKUP(B111,'[1]Wages Sheet'!$B$8:$W$192,22,FALSE)</f>
        <v>0</v>
      </c>
      <c r="P111" s="11">
        <f>VLOOKUP(B111,'[1]Wages Sheet'!$B$8:$Z$192,25,FALSE)</f>
        <v>0</v>
      </c>
      <c r="Q111" s="11">
        <f>VLOOKUP(B111,'[1]Wages Sheet'!$B$8:$AD$192,28,FALSE)</f>
        <v>0</v>
      </c>
      <c r="R111" s="11">
        <f>VLOOKUP(B111,'[1]Wages Sheet'!$B$8:$AD$192,29,FALSE)</f>
        <v>0</v>
      </c>
      <c r="S111" s="11">
        <f>VLOOKUP(B111,'[1]Wages Sheet'!$B$8:$AF$192,31,FALSE)</f>
        <v>0</v>
      </c>
    </row>
    <row r="112" spans="1:19" x14ac:dyDescent="0.3">
      <c r="A112" s="8" t="s">
        <v>13</v>
      </c>
      <c r="B112" s="9" t="s">
        <v>213</v>
      </c>
      <c r="C112" s="9" t="s">
        <v>54</v>
      </c>
      <c r="D112" s="9" t="s">
        <v>116</v>
      </c>
      <c r="E112" s="9"/>
      <c r="F112" s="10">
        <v>30</v>
      </c>
      <c r="G112" s="10">
        <v>0</v>
      </c>
      <c r="H112" s="10">
        <v>30</v>
      </c>
      <c r="I112" s="10">
        <f>VLOOKUP(B112,'[1]Wages Sheet'!$B$8:$J$192,9,FALSE)</f>
        <v>0</v>
      </c>
      <c r="J112" s="10">
        <f>SUM(VLOOKUP(B112,'[1]Wages Sheet'!$B$8:$K$192,10,FALSE)+(VLOOKUP(B112,'[1]Wages Sheet'!$B$8:$L$192,11,FALSE)))</f>
        <v>0</v>
      </c>
      <c r="K112" s="10">
        <f>VLOOKUP(B112,'[1]Wages Sheet'!$B$8:$O$192,14,FALSE)</f>
        <v>0</v>
      </c>
      <c r="L112" s="10">
        <f>VLOOKUP(B112,'[1]Wages Sheet'!$B$8:$Q$192,16,FALSE)</f>
        <v>0</v>
      </c>
      <c r="M112" s="11">
        <f>VLOOKUP(B112,'[1]Wages Sheet'!$B$8:$T$193,19,FALSE)</f>
        <v>12000</v>
      </c>
      <c r="N112" s="11">
        <f>VLOOKUP(B112,'[1]Wages Sheet'!$B$8:$U$192,20,FALSE)</f>
        <v>0</v>
      </c>
      <c r="O112" s="11">
        <f>VLOOKUP(B112,'[1]Wages Sheet'!$B$8:$W$192,22,FALSE)</f>
        <v>0</v>
      </c>
      <c r="P112" s="11">
        <f>VLOOKUP(B112,'[1]Wages Sheet'!$B$8:$Z$192,25,FALSE)</f>
        <v>0.35483870967618714</v>
      </c>
      <c r="Q112" s="11">
        <f>VLOOKUP(B112,'[1]Wages Sheet'!$B$8:$AD$192,28,FALSE)</f>
        <v>0.35483870967618714</v>
      </c>
      <c r="R112" s="11">
        <f>VLOOKUP(B112,'[1]Wages Sheet'!$B$8:$AD$192,29,FALSE)</f>
        <v>0</v>
      </c>
      <c r="S112" s="11">
        <f>VLOOKUP(B112,'[1]Wages Sheet'!$B$8:$AF$192,31,FALSE)</f>
        <v>0.35483870967618714</v>
      </c>
    </row>
    <row r="113" spans="1:19" x14ac:dyDescent="0.3">
      <c r="A113" s="8" t="s">
        <v>13</v>
      </c>
      <c r="B113" s="9" t="s">
        <v>214</v>
      </c>
      <c r="C113" s="9" t="s">
        <v>95</v>
      </c>
      <c r="D113" s="9" t="s">
        <v>62</v>
      </c>
      <c r="E113" s="9"/>
      <c r="F113" s="10">
        <v>30</v>
      </c>
      <c r="G113" s="10">
        <v>0</v>
      </c>
      <c r="H113" s="10">
        <v>30</v>
      </c>
      <c r="I113" s="10">
        <f>VLOOKUP(B113,'[1]Wages Sheet'!$B$8:$J$192,9,FALSE)</f>
        <v>0</v>
      </c>
      <c r="J113" s="10">
        <f>SUM(VLOOKUP(B113,'[1]Wages Sheet'!$B$8:$K$192,10,FALSE)+(VLOOKUP(B113,'[1]Wages Sheet'!$B$8:$L$192,11,FALSE)))</f>
        <v>0</v>
      </c>
      <c r="K113" s="10">
        <f>VLOOKUP(B113,'[1]Wages Sheet'!$B$8:$O$192,14,FALSE)</f>
        <v>0</v>
      </c>
      <c r="L113" s="10">
        <f>VLOOKUP(B113,'[1]Wages Sheet'!$B$8:$Q$192,16,FALSE)</f>
        <v>0</v>
      </c>
      <c r="M113" s="11">
        <f>VLOOKUP(B113,'[1]Wages Sheet'!$B$8:$T$193,19,FALSE)</f>
        <v>16000</v>
      </c>
      <c r="N113" s="11">
        <f>VLOOKUP(B113,'[1]Wages Sheet'!$B$8:$U$192,20,FALSE)</f>
        <v>0</v>
      </c>
      <c r="O113" s="11">
        <f>VLOOKUP(B113,'[1]Wages Sheet'!$B$8:$W$192,22,FALSE)</f>
        <v>0</v>
      </c>
      <c r="P113" s="11">
        <f>VLOOKUP(B113,'[1]Wages Sheet'!$B$8:$Z$192,25,FALSE)</f>
        <v>0</v>
      </c>
      <c r="Q113" s="11">
        <f>VLOOKUP(B113,'[1]Wages Sheet'!$B$8:$AD$192,28,FALSE)</f>
        <v>0</v>
      </c>
      <c r="R113" s="11">
        <f>VLOOKUP(B113,'[1]Wages Sheet'!$B$8:$AD$192,29,FALSE)</f>
        <v>0</v>
      </c>
      <c r="S113" s="11">
        <f>VLOOKUP(B113,'[1]Wages Sheet'!$B$8:$AF$192,31,FALSE)</f>
        <v>0</v>
      </c>
    </row>
    <row r="114" spans="1:19" x14ac:dyDescent="0.3">
      <c r="A114" s="8" t="s">
        <v>13</v>
      </c>
      <c r="B114" s="9" t="s">
        <v>215</v>
      </c>
      <c r="C114" s="9" t="s">
        <v>64</v>
      </c>
      <c r="D114" s="9" t="s">
        <v>62</v>
      </c>
      <c r="E114" s="9" t="s">
        <v>92</v>
      </c>
      <c r="F114" s="10">
        <v>30</v>
      </c>
      <c r="G114" s="10">
        <v>9</v>
      </c>
      <c r="H114" s="10">
        <v>21</v>
      </c>
      <c r="I114" s="10">
        <f>VLOOKUP(B114,'[1]Wages Sheet'!$B$8:$J$192,9,FALSE)</f>
        <v>7</v>
      </c>
      <c r="J114" s="10">
        <f>SUM(VLOOKUP(B114,'[1]Wages Sheet'!$B$8:$K$192,10,FALSE)+(VLOOKUP(B114,'[1]Wages Sheet'!$B$8:$L$192,11,FALSE)))</f>
        <v>0</v>
      </c>
      <c r="K114" s="10">
        <f>VLOOKUP(B114,'[1]Wages Sheet'!$B$8:$O$192,14,FALSE)</f>
        <v>0</v>
      </c>
      <c r="L114" s="10">
        <f>VLOOKUP(B114,'[1]Wages Sheet'!$B$8:$Q$192,16,FALSE)</f>
        <v>0</v>
      </c>
      <c r="M114" s="11">
        <f>VLOOKUP(B114,'[1]Wages Sheet'!$B$8:$T$193,19,FALSE)</f>
        <v>16000</v>
      </c>
      <c r="N114" s="11">
        <f>VLOOKUP(B114,'[1]Wages Sheet'!$B$8:$U$192,20,FALSE)</f>
        <v>8533.3333333333339</v>
      </c>
      <c r="O114" s="11">
        <f>VLOOKUP(B114,'[1]Wages Sheet'!$B$8:$W$192,22,FALSE)</f>
        <v>0</v>
      </c>
      <c r="P114" s="11">
        <f>VLOOKUP(B114,'[1]Wages Sheet'!$B$8:$Z$192,25,FALSE)</f>
        <v>12149</v>
      </c>
      <c r="Q114" s="11">
        <f>VLOOKUP(B114,'[1]Wages Sheet'!$B$8:$AD$192,28,FALSE)</f>
        <v>20682.333333333336</v>
      </c>
      <c r="R114" s="11">
        <f>VLOOKUP(B114,'[1]Wages Sheet'!$B$8:$AD$192,29,FALSE)</f>
        <v>0</v>
      </c>
      <c r="S114" s="11">
        <f>VLOOKUP(B114,'[1]Wages Sheet'!$B$8:$AF$192,31,FALSE)</f>
        <v>20682.333333333336</v>
      </c>
    </row>
    <row r="115" spans="1:19" x14ac:dyDescent="0.3">
      <c r="A115" s="8" t="s">
        <v>13</v>
      </c>
      <c r="B115" s="9" t="s">
        <v>339</v>
      </c>
      <c r="C115" s="9" t="s">
        <v>54</v>
      </c>
      <c r="D115" s="9" t="s">
        <v>58</v>
      </c>
      <c r="E115" s="9"/>
      <c r="F115" s="10">
        <v>30</v>
      </c>
      <c r="G115" s="10">
        <v>0</v>
      </c>
      <c r="H115" s="10">
        <v>30</v>
      </c>
      <c r="I115" s="10">
        <f>VLOOKUP(B115,'[1]Wages Sheet'!$B$8:$J$192,9,FALSE)</f>
        <v>0</v>
      </c>
      <c r="J115" s="10">
        <f>SUM(VLOOKUP(B115,'[1]Wages Sheet'!$B$8:$K$192,10,FALSE)+(VLOOKUP(B115,'[1]Wages Sheet'!$B$8:$L$192,11,FALSE)))</f>
        <v>0</v>
      </c>
      <c r="K115" s="10">
        <f>VLOOKUP(B115,'[1]Wages Sheet'!$B$8:$O$192,14,FALSE)</f>
        <v>0</v>
      </c>
      <c r="L115" s="10">
        <f>VLOOKUP(B115,'[1]Wages Sheet'!$B$8:$Q$192,16,FALSE)</f>
        <v>0</v>
      </c>
      <c r="M115" s="11">
        <f>VLOOKUP(B115,'[1]Wages Sheet'!$B$8:$T$193,19,FALSE)</f>
        <v>9500</v>
      </c>
      <c r="N115" s="11">
        <f>VLOOKUP(B115,'[1]Wages Sheet'!$B$8:$U$192,20,FALSE)</f>
        <v>0</v>
      </c>
      <c r="O115" s="11">
        <f>VLOOKUP(B115,'[1]Wages Sheet'!$B$8:$W$192,22,FALSE)</f>
        <v>0</v>
      </c>
      <c r="P115" s="11">
        <f>VLOOKUP(B115,'[1]Wages Sheet'!$B$8:$Z$192,25,FALSE)</f>
        <v>0</v>
      </c>
      <c r="Q115" s="11">
        <f>VLOOKUP(B115,'[1]Wages Sheet'!$B$8:$AD$192,28,FALSE)</f>
        <v>0</v>
      </c>
      <c r="R115" s="11">
        <f>VLOOKUP(B115,'[1]Wages Sheet'!$B$8:$AD$192,29,FALSE)</f>
        <v>0</v>
      </c>
      <c r="S115" s="11">
        <f>VLOOKUP(B115,'[1]Wages Sheet'!$B$8:$AF$192,31,FALSE)</f>
        <v>0</v>
      </c>
    </row>
    <row r="116" spans="1:19" x14ac:dyDescent="0.3">
      <c r="A116" s="8" t="s">
        <v>13</v>
      </c>
      <c r="B116" s="9" t="s">
        <v>217</v>
      </c>
      <c r="C116" s="9" t="s">
        <v>54</v>
      </c>
      <c r="D116" s="9" t="s">
        <v>88</v>
      </c>
      <c r="E116" s="9" t="s">
        <v>56</v>
      </c>
      <c r="F116" s="10">
        <v>30</v>
      </c>
      <c r="G116" s="10">
        <v>29</v>
      </c>
      <c r="H116" s="10">
        <v>1</v>
      </c>
      <c r="I116" s="10">
        <f>VLOOKUP(B116,'[1]Wages Sheet'!$B$8:$J$192,9,FALSE)</f>
        <v>0</v>
      </c>
      <c r="J116" s="10">
        <f>SUM(VLOOKUP(B116,'[1]Wages Sheet'!$B$8:$K$192,10,FALSE)+(VLOOKUP(B116,'[1]Wages Sheet'!$B$8:$L$192,11,FALSE)))</f>
        <v>4</v>
      </c>
      <c r="K116" s="10">
        <f>VLOOKUP(B116,'[1]Wages Sheet'!$B$8:$O$192,14,FALSE)</f>
        <v>1</v>
      </c>
      <c r="L116" s="10">
        <f>VLOOKUP(B116,'[1]Wages Sheet'!$B$8:$Q$192,16,FALSE)</f>
        <v>3</v>
      </c>
      <c r="M116" s="11">
        <f>VLOOKUP(B116,'[1]Wages Sheet'!$B$8:$T$193,19,FALSE)</f>
        <v>8500</v>
      </c>
      <c r="N116" s="11">
        <f>VLOOKUP(B116,'[1]Wages Sheet'!$B$8:$U$192,20,FALSE)</f>
        <v>8500</v>
      </c>
      <c r="O116" s="11">
        <f>VLOOKUP(B116,'[1]Wages Sheet'!$B$8:$W$192,22,FALSE)</f>
        <v>0</v>
      </c>
      <c r="P116" s="11">
        <f>VLOOKUP(B116,'[1]Wages Sheet'!$B$8:$Z$192,25,FALSE)</f>
        <v>7677.0752688172042</v>
      </c>
      <c r="Q116" s="11">
        <f>VLOOKUP(B116,'[1]Wages Sheet'!$B$8:$AD$192,28,FALSE)</f>
        <v>16177.075268817203</v>
      </c>
      <c r="R116" s="11">
        <f>VLOOKUP(B116,'[1]Wages Sheet'!$B$8:$AD$192,29,FALSE)</f>
        <v>16200</v>
      </c>
      <c r="S116" s="11">
        <f>VLOOKUP(B116,'[1]Wages Sheet'!$B$8:$AF$192,31,FALSE)</f>
        <v>-22.924731182796677</v>
      </c>
    </row>
    <row r="117" spans="1:19" x14ac:dyDescent="0.3">
      <c r="A117" s="8" t="s">
        <v>13</v>
      </c>
      <c r="B117" s="9" t="s">
        <v>218</v>
      </c>
      <c r="C117" s="9" t="s">
        <v>54</v>
      </c>
      <c r="D117" s="9" t="s">
        <v>55</v>
      </c>
      <c r="E117" s="9"/>
      <c r="F117" s="10">
        <v>30</v>
      </c>
      <c r="G117" s="10">
        <v>0</v>
      </c>
      <c r="H117" s="10">
        <v>30</v>
      </c>
      <c r="I117" s="10">
        <f>VLOOKUP(B117,'[1]Wages Sheet'!$B$8:$J$192,9,FALSE)</f>
        <v>0</v>
      </c>
      <c r="J117" s="10">
        <f>SUM(VLOOKUP(B117,'[1]Wages Sheet'!$B$8:$K$192,10,FALSE)+(VLOOKUP(B117,'[1]Wages Sheet'!$B$8:$L$192,11,FALSE)))</f>
        <v>0</v>
      </c>
      <c r="K117" s="10">
        <f>VLOOKUP(B117,'[1]Wages Sheet'!$B$8:$O$192,14,FALSE)</f>
        <v>0</v>
      </c>
      <c r="L117" s="10">
        <f>VLOOKUP(B117,'[1]Wages Sheet'!$B$8:$Q$192,16,FALSE)</f>
        <v>0</v>
      </c>
      <c r="M117" s="11">
        <f>VLOOKUP(B117,'[1]Wages Sheet'!$B$8:$T$193,19,FALSE)</f>
        <v>11000</v>
      </c>
      <c r="N117" s="11">
        <f>VLOOKUP(B117,'[1]Wages Sheet'!$B$8:$U$192,20,FALSE)</f>
        <v>0</v>
      </c>
      <c r="O117" s="11">
        <f>VLOOKUP(B117,'[1]Wages Sheet'!$B$8:$W$192,22,FALSE)</f>
        <v>0</v>
      </c>
      <c r="P117" s="11">
        <f>VLOOKUP(B117,'[1]Wages Sheet'!$B$8:$Z$192,25,FALSE)</f>
        <v>0</v>
      </c>
      <c r="Q117" s="11">
        <f>VLOOKUP(B117,'[1]Wages Sheet'!$B$8:$AD$192,28,FALSE)</f>
        <v>0</v>
      </c>
      <c r="R117" s="11">
        <f>VLOOKUP(B117,'[1]Wages Sheet'!$B$8:$AD$192,29,FALSE)</f>
        <v>0</v>
      </c>
      <c r="S117" s="11">
        <f>VLOOKUP(B117,'[1]Wages Sheet'!$B$8:$AF$192,31,FALSE)</f>
        <v>0</v>
      </c>
    </row>
    <row r="118" spans="1:19" x14ac:dyDescent="0.3">
      <c r="A118" s="8" t="s">
        <v>13</v>
      </c>
      <c r="B118" s="9" t="s">
        <v>219</v>
      </c>
      <c r="C118" s="9" t="s">
        <v>95</v>
      </c>
      <c r="D118" s="9" t="s">
        <v>62</v>
      </c>
      <c r="E118" s="9"/>
      <c r="F118" s="10">
        <v>30</v>
      </c>
      <c r="G118" s="10">
        <v>0</v>
      </c>
      <c r="H118" s="10">
        <v>30</v>
      </c>
      <c r="I118" s="10">
        <f>VLOOKUP(B118,'[1]Wages Sheet'!$B$8:$J$192,9,FALSE)</f>
        <v>0</v>
      </c>
      <c r="J118" s="10">
        <f>SUM(VLOOKUP(B118,'[1]Wages Sheet'!$B$8:$K$192,10,FALSE)+(VLOOKUP(B118,'[1]Wages Sheet'!$B$8:$L$192,11,FALSE)))</f>
        <v>0</v>
      </c>
      <c r="K118" s="10">
        <f>VLOOKUP(B118,'[1]Wages Sheet'!$B$8:$O$192,14,FALSE)</f>
        <v>0</v>
      </c>
      <c r="L118" s="10">
        <f>VLOOKUP(B118,'[1]Wages Sheet'!$B$8:$Q$192,16,FALSE)</f>
        <v>0</v>
      </c>
      <c r="M118" s="11">
        <f>VLOOKUP(B118,'[1]Wages Sheet'!$B$8:$T$193,19,FALSE)</f>
        <v>16500</v>
      </c>
      <c r="N118" s="11">
        <f>VLOOKUP(B118,'[1]Wages Sheet'!$B$8:$U$192,20,FALSE)</f>
        <v>0</v>
      </c>
      <c r="O118" s="11">
        <f>VLOOKUP(B118,'[1]Wages Sheet'!$B$8:$W$192,22,FALSE)</f>
        <v>0</v>
      </c>
      <c r="P118" s="11">
        <f>VLOOKUP(B118,'[1]Wages Sheet'!$B$8:$Z$192,25,FALSE)</f>
        <v>0</v>
      </c>
      <c r="Q118" s="11">
        <f>VLOOKUP(B118,'[1]Wages Sheet'!$B$8:$AD$192,28,FALSE)</f>
        <v>0</v>
      </c>
      <c r="R118" s="11">
        <f>VLOOKUP(B118,'[1]Wages Sheet'!$B$8:$AD$192,29,FALSE)</f>
        <v>0</v>
      </c>
      <c r="S118" s="11">
        <f>VLOOKUP(B118,'[1]Wages Sheet'!$B$8:$AF$192,31,FALSE)</f>
        <v>0</v>
      </c>
    </row>
    <row r="119" spans="1:19" x14ac:dyDescent="0.3">
      <c r="A119" s="8" t="s">
        <v>13</v>
      </c>
      <c r="B119" s="9" t="s">
        <v>220</v>
      </c>
      <c r="C119" s="9" t="s">
        <v>54</v>
      </c>
      <c r="D119" s="9" t="s">
        <v>207</v>
      </c>
      <c r="E119" s="9"/>
      <c r="F119" s="10">
        <v>30</v>
      </c>
      <c r="G119" s="10">
        <v>0</v>
      </c>
      <c r="H119" s="10">
        <v>30</v>
      </c>
      <c r="I119" s="10">
        <f>VLOOKUP(B119,'[1]Wages Sheet'!$B$8:$J$192,9,FALSE)</f>
        <v>0</v>
      </c>
      <c r="J119" s="10">
        <f>SUM(VLOOKUP(B119,'[1]Wages Sheet'!$B$8:$K$192,10,FALSE)+(VLOOKUP(B119,'[1]Wages Sheet'!$B$8:$L$192,11,FALSE)))</f>
        <v>0</v>
      </c>
      <c r="K119" s="10">
        <f>VLOOKUP(B119,'[1]Wages Sheet'!$B$8:$O$192,14,FALSE)</f>
        <v>0</v>
      </c>
      <c r="L119" s="10">
        <f>VLOOKUP(B119,'[1]Wages Sheet'!$B$8:$Q$192,16,FALSE)</f>
        <v>0</v>
      </c>
      <c r="M119" s="11">
        <f>VLOOKUP(B119,'[1]Wages Sheet'!$B$8:$T$193,19,FALSE)</f>
        <v>16000</v>
      </c>
      <c r="N119" s="11">
        <f>VLOOKUP(B119,'[1]Wages Sheet'!$B$8:$U$192,20,FALSE)</f>
        <v>0</v>
      </c>
      <c r="O119" s="11">
        <f>VLOOKUP(B119,'[1]Wages Sheet'!$B$8:$W$192,22,FALSE)</f>
        <v>0</v>
      </c>
      <c r="P119" s="11">
        <f>VLOOKUP(B119,'[1]Wages Sheet'!$B$8:$Z$192,25,FALSE)</f>
        <v>1862.4731182795701</v>
      </c>
      <c r="Q119" s="11">
        <f>VLOOKUP(B119,'[1]Wages Sheet'!$B$8:$AD$192,28,FALSE)</f>
        <v>1862.4731182795701</v>
      </c>
      <c r="R119" s="11">
        <f>VLOOKUP(B119,'[1]Wages Sheet'!$B$8:$AD$192,29,FALSE)</f>
        <v>0</v>
      </c>
      <c r="S119" s="11">
        <f>VLOOKUP(B119,'[1]Wages Sheet'!$B$8:$AF$192,31,FALSE)</f>
        <v>1862.4731182795701</v>
      </c>
    </row>
    <row r="120" spans="1:19" x14ac:dyDescent="0.3">
      <c r="A120" s="8" t="s">
        <v>13</v>
      </c>
      <c r="B120" s="9" t="s">
        <v>221</v>
      </c>
      <c r="C120" s="9" t="s">
        <v>54</v>
      </c>
      <c r="D120" s="9" t="s">
        <v>58</v>
      </c>
      <c r="E120" s="9"/>
      <c r="F120" s="10">
        <v>30</v>
      </c>
      <c r="G120" s="10">
        <v>0</v>
      </c>
      <c r="H120" s="10">
        <v>30</v>
      </c>
      <c r="I120" s="10">
        <f>VLOOKUP(B120,'[1]Wages Sheet'!$B$8:$J$192,9,FALSE)</f>
        <v>0</v>
      </c>
      <c r="J120" s="10">
        <f>SUM(VLOOKUP(B120,'[1]Wages Sheet'!$B$8:$K$192,10,FALSE)+(VLOOKUP(B120,'[1]Wages Sheet'!$B$8:$L$192,11,FALSE)))</f>
        <v>0</v>
      </c>
      <c r="K120" s="10">
        <f>VLOOKUP(B120,'[1]Wages Sheet'!$B$8:$O$192,14,FALSE)</f>
        <v>0</v>
      </c>
      <c r="L120" s="10">
        <f>VLOOKUP(B120,'[1]Wages Sheet'!$B$8:$Q$192,16,FALSE)</f>
        <v>0</v>
      </c>
      <c r="M120" s="11">
        <f>VLOOKUP(B120,'[1]Wages Sheet'!$B$8:$T$193,19,FALSE)</f>
        <v>9500</v>
      </c>
      <c r="N120" s="11">
        <f>VLOOKUP(B120,'[1]Wages Sheet'!$B$8:$U$192,20,FALSE)</f>
        <v>0</v>
      </c>
      <c r="O120" s="11">
        <f>VLOOKUP(B120,'[1]Wages Sheet'!$B$8:$W$192,22,FALSE)</f>
        <v>0</v>
      </c>
      <c r="P120" s="11">
        <f>VLOOKUP(B120,'[1]Wages Sheet'!$B$8:$Z$192,25,FALSE)</f>
        <v>8500</v>
      </c>
      <c r="Q120" s="11">
        <f>VLOOKUP(B120,'[1]Wages Sheet'!$B$8:$AD$192,28,FALSE)</f>
        <v>8500</v>
      </c>
      <c r="R120" s="11">
        <f>VLOOKUP(B120,'[1]Wages Sheet'!$B$8:$AD$192,29,FALSE)</f>
        <v>0</v>
      </c>
      <c r="S120" s="11">
        <f>VLOOKUP(B120,'[1]Wages Sheet'!$B$8:$AF$192,31,FALSE)</f>
        <v>8500</v>
      </c>
    </row>
    <row r="121" spans="1:19" x14ac:dyDescent="0.3">
      <c r="A121" s="8" t="s">
        <v>13</v>
      </c>
      <c r="B121" s="9" t="s">
        <v>222</v>
      </c>
      <c r="C121" s="9" t="s">
        <v>95</v>
      </c>
      <c r="D121" s="9" t="s">
        <v>62</v>
      </c>
      <c r="E121" s="9"/>
      <c r="F121" s="10">
        <v>30</v>
      </c>
      <c r="G121" s="10">
        <v>0</v>
      </c>
      <c r="H121" s="10">
        <v>30</v>
      </c>
      <c r="I121" s="10">
        <f>VLOOKUP(B121,'[1]Wages Sheet'!$B$8:$J$192,9,FALSE)</f>
        <v>0</v>
      </c>
      <c r="J121" s="10">
        <f>SUM(VLOOKUP(B121,'[1]Wages Sheet'!$B$8:$K$192,10,FALSE)+(VLOOKUP(B121,'[1]Wages Sheet'!$B$8:$L$192,11,FALSE)))</f>
        <v>0</v>
      </c>
      <c r="K121" s="10">
        <f>VLOOKUP(B121,'[1]Wages Sheet'!$B$8:$O$192,14,FALSE)</f>
        <v>0</v>
      </c>
      <c r="L121" s="10">
        <f>VLOOKUP(B121,'[1]Wages Sheet'!$B$8:$Q$192,16,FALSE)</f>
        <v>0</v>
      </c>
      <c r="M121" s="11">
        <f>VLOOKUP(B121,'[1]Wages Sheet'!$B$8:$T$193,19,FALSE)</f>
        <v>0</v>
      </c>
      <c r="N121" s="11">
        <f>VLOOKUP(B121,'[1]Wages Sheet'!$B$8:$U$192,20,FALSE)</f>
        <v>0</v>
      </c>
      <c r="O121" s="11">
        <f>VLOOKUP(B121,'[1]Wages Sheet'!$B$8:$W$192,22,FALSE)</f>
        <v>0</v>
      </c>
      <c r="P121" s="11">
        <f>VLOOKUP(B121,'[1]Wages Sheet'!$B$8:$Z$192,25,FALSE)</f>
        <v>0</v>
      </c>
      <c r="Q121" s="11">
        <f>VLOOKUP(B121,'[1]Wages Sheet'!$B$8:$AD$192,28,FALSE)</f>
        <v>0</v>
      </c>
      <c r="R121" s="11">
        <f>VLOOKUP(B121,'[1]Wages Sheet'!$B$8:$AD$192,29,FALSE)</f>
        <v>0</v>
      </c>
      <c r="S121" s="11">
        <f>VLOOKUP(B121,'[1]Wages Sheet'!$B$8:$AF$192,31,FALSE)</f>
        <v>0</v>
      </c>
    </row>
    <row r="122" spans="1:19" x14ac:dyDescent="0.3">
      <c r="A122" s="8" t="s">
        <v>13</v>
      </c>
      <c r="B122" s="9" t="s">
        <v>223</v>
      </c>
      <c r="C122" s="9" t="s">
        <v>54</v>
      </c>
      <c r="D122" s="9" t="s">
        <v>130</v>
      </c>
      <c r="E122" s="9"/>
      <c r="F122" s="10">
        <v>30</v>
      </c>
      <c r="G122" s="10">
        <v>0</v>
      </c>
      <c r="H122" s="10">
        <v>30</v>
      </c>
      <c r="I122" s="10">
        <f>VLOOKUP(B122,'[1]Wages Sheet'!$B$8:$J$192,9,FALSE)</f>
        <v>0</v>
      </c>
      <c r="J122" s="10">
        <f>SUM(VLOOKUP(B122,'[1]Wages Sheet'!$B$8:$K$192,10,FALSE)+(VLOOKUP(B122,'[1]Wages Sheet'!$B$8:$L$192,11,FALSE)))</f>
        <v>0</v>
      </c>
      <c r="K122" s="10">
        <f>VLOOKUP(B122,'[1]Wages Sheet'!$B$8:$O$192,14,FALSE)</f>
        <v>0</v>
      </c>
      <c r="L122" s="10">
        <f>VLOOKUP(B122,'[1]Wages Sheet'!$B$8:$Q$192,16,FALSE)</f>
        <v>0</v>
      </c>
      <c r="M122" s="11">
        <f>VLOOKUP(B122,'[1]Wages Sheet'!$B$8:$T$193,19,FALSE)</f>
        <v>17000</v>
      </c>
      <c r="N122" s="11">
        <f>VLOOKUP(B122,'[1]Wages Sheet'!$B$8:$U$192,20,FALSE)</f>
        <v>0</v>
      </c>
      <c r="O122" s="11">
        <f>VLOOKUP(B122,'[1]Wages Sheet'!$B$8:$W$192,22,FALSE)</f>
        <v>3.3333333333339397</v>
      </c>
      <c r="P122" s="11">
        <f>VLOOKUP(B122,'[1]Wages Sheet'!$B$8:$Z$192,25,FALSE)</f>
        <v>0</v>
      </c>
      <c r="Q122" s="11">
        <f>VLOOKUP(B122,'[1]Wages Sheet'!$B$8:$AD$192,28,FALSE)</f>
        <v>-3.3333333333339397</v>
      </c>
      <c r="R122" s="11">
        <f>VLOOKUP(B122,'[1]Wages Sheet'!$B$8:$AD$192,29,FALSE)</f>
        <v>0</v>
      </c>
      <c r="S122" s="11">
        <f>VLOOKUP(B122,'[1]Wages Sheet'!$B$8:$AF$192,31,FALSE)</f>
        <v>-3.3333333333339397</v>
      </c>
    </row>
    <row r="123" spans="1:19" x14ac:dyDescent="0.3">
      <c r="A123" s="8" t="s">
        <v>13</v>
      </c>
      <c r="B123" s="9" t="s">
        <v>224</v>
      </c>
      <c r="C123" s="9" t="s">
        <v>54</v>
      </c>
      <c r="D123" s="9" t="s">
        <v>88</v>
      </c>
      <c r="E123" s="9" t="s">
        <v>119</v>
      </c>
      <c r="F123" s="10">
        <v>30</v>
      </c>
      <c r="G123" s="10">
        <v>22</v>
      </c>
      <c r="H123" s="10">
        <v>8</v>
      </c>
      <c r="I123" s="10">
        <f>VLOOKUP(B123,'[1]Wages Sheet'!$B$8:$J$192,9,FALSE)</f>
        <v>5</v>
      </c>
      <c r="J123" s="10">
        <f>SUM(VLOOKUP(B123,'[1]Wages Sheet'!$B$8:$K$192,10,FALSE)+(VLOOKUP(B123,'[1]Wages Sheet'!$B$8:$L$192,11,FALSE)))</f>
        <v>3</v>
      </c>
      <c r="K123" s="10">
        <f>VLOOKUP(B123,'[1]Wages Sheet'!$B$8:$O$192,14,FALSE)</f>
        <v>8</v>
      </c>
      <c r="L123" s="10">
        <f>VLOOKUP(B123,'[1]Wages Sheet'!$B$8:$Q$192,16,FALSE)</f>
        <v>0</v>
      </c>
      <c r="M123" s="11">
        <f>VLOOKUP(B123,'[1]Wages Sheet'!$B$8:$T$193,19,FALSE)</f>
        <v>12500</v>
      </c>
      <c r="N123" s="11">
        <f>VLOOKUP(B123,'[1]Wages Sheet'!$B$8:$U$192,20,FALSE)</f>
        <v>12500</v>
      </c>
      <c r="O123" s="11">
        <f>VLOOKUP(B123,'[1]Wages Sheet'!$B$8:$W$192,22,FALSE)</f>
        <v>0</v>
      </c>
      <c r="P123" s="11">
        <f>VLOOKUP(B123,'[1]Wages Sheet'!$B$8:$Z$192,25,FALSE)</f>
        <v>12496.666666666668</v>
      </c>
      <c r="Q123" s="11">
        <f>VLOOKUP(B123,'[1]Wages Sheet'!$B$8:$AD$192,28,FALSE)</f>
        <v>24996.666666666668</v>
      </c>
      <c r="R123" s="11">
        <f>VLOOKUP(B123,'[1]Wages Sheet'!$B$8:$AD$192,29,FALSE)</f>
        <v>23000</v>
      </c>
      <c r="S123" s="11">
        <f>VLOOKUP(B123,'[1]Wages Sheet'!$B$8:$AF$192,31,FALSE)</f>
        <v>1996.6666666666679</v>
      </c>
    </row>
    <row r="124" spans="1:19" x14ac:dyDescent="0.3">
      <c r="A124" s="8" t="s">
        <v>13</v>
      </c>
      <c r="B124" s="9" t="s">
        <v>225</v>
      </c>
      <c r="C124" s="9" t="s">
        <v>64</v>
      </c>
      <c r="D124" s="9" t="s">
        <v>55</v>
      </c>
      <c r="E124" s="9" t="s">
        <v>56</v>
      </c>
      <c r="F124" s="10">
        <v>30</v>
      </c>
      <c r="G124" s="10">
        <v>24</v>
      </c>
      <c r="H124" s="10">
        <v>6</v>
      </c>
      <c r="I124" s="10">
        <f>VLOOKUP(B124,'[1]Wages Sheet'!$B$8:$J$192,9,FALSE)</f>
        <v>1.5</v>
      </c>
      <c r="J124" s="10">
        <f>SUM(VLOOKUP(B124,'[1]Wages Sheet'!$B$8:$K$192,10,FALSE)+(VLOOKUP(B124,'[1]Wages Sheet'!$B$8:$L$192,11,FALSE)))</f>
        <v>4.5</v>
      </c>
      <c r="K124" s="10">
        <f>VLOOKUP(B124,'[1]Wages Sheet'!$B$8:$O$192,14,FALSE)</f>
        <v>6</v>
      </c>
      <c r="L124" s="10">
        <f>VLOOKUP(B124,'[1]Wages Sheet'!$B$8:$Q$192,16,FALSE)</f>
        <v>0</v>
      </c>
      <c r="M124" s="11">
        <f>VLOOKUP(B124,'[1]Wages Sheet'!$B$8:$T$193,19,FALSE)</f>
        <v>14000</v>
      </c>
      <c r="N124" s="11">
        <f>VLOOKUP(B124,'[1]Wages Sheet'!$B$8:$U$192,20,FALSE)</f>
        <v>14000</v>
      </c>
      <c r="O124" s="11">
        <f>VLOOKUP(B124,'[1]Wages Sheet'!$B$8:$W$192,22,FALSE)</f>
        <v>0</v>
      </c>
      <c r="P124" s="11">
        <f>VLOOKUP(B124,'[1]Wages Sheet'!$B$8:$Z$192,25,FALSE)</f>
        <v>6629.8064516129061</v>
      </c>
      <c r="Q124" s="11">
        <f>VLOOKUP(B124,'[1]Wages Sheet'!$B$8:$AD$192,28,FALSE)</f>
        <v>20629.806451612905</v>
      </c>
      <c r="R124" s="11">
        <f>VLOOKUP(B124,'[1]Wages Sheet'!$B$8:$AD$192,29,FALSE)</f>
        <v>20630</v>
      </c>
      <c r="S124" s="11">
        <f>VLOOKUP(B124,'[1]Wages Sheet'!$B$8:$AF$192,31,FALSE)</f>
        <v>-0.19354838709477917</v>
      </c>
    </row>
    <row r="125" spans="1:19" x14ac:dyDescent="0.3">
      <c r="A125" s="8" t="s">
        <v>13</v>
      </c>
      <c r="B125" s="9" t="s">
        <v>226</v>
      </c>
      <c r="C125" s="9" t="s">
        <v>54</v>
      </c>
      <c r="D125" s="9" t="s">
        <v>100</v>
      </c>
      <c r="E125" s="9"/>
      <c r="F125" s="10">
        <v>30</v>
      </c>
      <c r="G125" s="10">
        <v>0</v>
      </c>
      <c r="H125" s="10">
        <v>30</v>
      </c>
      <c r="I125" s="10">
        <f>VLOOKUP(B125,'[1]Wages Sheet'!$B$8:$J$192,9,FALSE)</f>
        <v>0</v>
      </c>
      <c r="J125" s="10">
        <f>SUM(VLOOKUP(B125,'[1]Wages Sheet'!$B$8:$K$192,10,FALSE)+(VLOOKUP(B125,'[1]Wages Sheet'!$B$8:$L$192,11,FALSE)))</f>
        <v>0</v>
      </c>
      <c r="K125" s="10">
        <f>VLOOKUP(B125,'[1]Wages Sheet'!$B$8:$O$192,14,FALSE)</f>
        <v>0</v>
      </c>
      <c r="L125" s="10">
        <f>VLOOKUP(B125,'[1]Wages Sheet'!$B$8:$Q$192,16,FALSE)</f>
        <v>0</v>
      </c>
      <c r="M125" s="11">
        <f>VLOOKUP(B125,'[1]Wages Sheet'!$B$8:$T$193,19,FALSE)</f>
        <v>11850</v>
      </c>
      <c r="N125" s="11">
        <f>VLOOKUP(B125,'[1]Wages Sheet'!$B$8:$U$192,20,FALSE)</f>
        <v>0</v>
      </c>
      <c r="O125" s="11">
        <f>VLOOKUP(B125,'[1]Wages Sheet'!$B$8:$W$192,22,FALSE)</f>
        <v>0</v>
      </c>
      <c r="P125" s="11">
        <f>VLOOKUP(B125,'[1]Wages Sheet'!$B$8:$Z$192,25,FALSE)</f>
        <v>0</v>
      </c>
      <c r="Q125" s="11">
        <f>VLOOKUP(B125,'[1]Wages Sheet'!$B$8:$AD$192,28,FALSE)</f>
        <v>0</v>
      </c>
      <c r="R125" s="11">
        <f>VLOOKUP(B125,'[1]Wages Sheet'!$B$8:$AD$192,29,FALSE)</f>
        <v>0</v>
      </c>
      <c r="S125" s="11">
        <f>VLOOKUP(B125,'[1]Wages Sheet'!$B$8:$AF$192,31,FALSE)</f>
        <v>0</v>
      </c>
    </row>
    <row r="126" spans="1:19" x14ac:dyDescent="0.3">
      <c r="A126" s="8" t="s">
        <v>13</v>
      </c>
      <c r="B126" s="9" t="s">
        <v>227</v>
      </c>
      <c r="C126" s="9" t="s">
        <v>64</v>
      </c>
      <c r="D126" s="9" t="s">
        <v>55</v>
      </c>
      <c r="E126" s="9" t="s">
        <v>97</v>
      </c>
      <c r="F126" s="10">
        <v>30</v>
      </c>
      <c r="G126" s="10">
        <v>28</v>
      </c>
      <c r="H126" s="10">
        <v>2</v>
      </c>
      <c r="I126" s="10">
        <f>VLOOKUP(B126,'[1]Wages Sheet'!$B$8:$J$192,9,FALSE)</f>
        <v>-12</v>
      </c>
      <c r="J126" s="10">
        <f>SUM(VLOOKUP(B126,'[1]Wages Sheet'!$B$8:$K$192,10,FALSE)+(VLOOKUP(B126,'[1]Wages Sheet'!$B$8:$L$192,11,FALSE)))</f>
        <v>4</v>
      </c>
      <c r="K126" s="10">
        <f>VLOOKUP(B126,'[1]Wages Sheet'!$B$8:$O$192,14,FALSE)</f>
        <v>0</v>
      </c>
      <c r="L126" s="10">
        <f>VLOOKUP(B126,'[1]Wages Sheet'!$B$8:$Q$192,16,FALSE)</f>
        <v>2</v>
      </c>
      <c r="M126" s="11">
        <f>VLOOKUP(B126,'[1]Wages Sheet'!$B$8:$T$193,19,FALSE)</f>
        <v>14000</v>
      </c>
      <c r="N126" s="11">
        <f>VLOOKUP(B126,'[1]Wages Sheet'!$B$8:$U$192,20,FALSE)</f>
        <v>14000</v>
      </c>
      <c r="O126" s="11">
        <f>VLOOKUP(B126,'[1]Wages Sheet'!$B$8:$W$192,22,FALSE)</f>
        <v>0</v>
      </c>
      <c r="P126" s="11">
        <f>VLOOKUP(B126,'[1]Wages Sheet'!$B$8:$Z$192,25,FALSE)</f>
        <v>14000</v>
      </c>
      <c r="Q126" s="11">
        <f>VLOOKUP(B126,'[1]Wages Sheet'!$B$8:$AD$192,28,FALSE)</f>
        <v>28000</v>
      </c>
      <c r="R126" s="11">
        <f>VLOOKUP(B126,'[1]Wages Sheet'!$B$8:$AD$192,29,FALSE)</f>
        <v>28000</v>
      </c>
      <c r="S126" s="11">
        <f>VLOOKUP(B126,'[1]Wages Sheet'!$B$8:$AF$192,31,FALSE)</f>
        <v>0</v>
      </c>
    </row>
    <row r="127" spans="1:19" x14ac:dyDescent="0.3">
      <c r="A127" s="8" t="s">
        <v>13</v>
      </c>
      <c r="B127" s="9" t="s">
        <v>228</v>
      </c>
      <c r="C127" s="9" t="s">
        <v>54</v>
      </c>
      <c r="D127" s="9" t="s">
        <v>100</v>
      </c>
      <c r="E127" s="9"/>
      <c r="F127" s="10">
        <v>30</v>
      </c>
      <c r="G127" s="10">
        <v>0</v>
      </c>
      <c r="H127" s="10">
        <v>30</v>
      </c>
      <c r="I127" s="10">
        <f>VLOOKUP(B127,'[1]Wages Sheet'!$B$8:$J$192,9,FALSE)</f>
        <v>0</v>
      </c>
      <c r="J127" s="10">
        <f>SUM(VLOOKUP(B127,'[1]Wages Sheet'!$B$8:$K$192,10,FALSE)+(VLOOKUP(B127,'[1]Wages Sheet'!$B$8:$L$192,11,FALSE)))</f>
        <v>0</v>
      </c>
      <c r="K127" s="10">
        <f>VLOOKUP(B127,'[1]Wages Sheet'!$B$8:$O$192,14,FALSE)</f>
        <v>0</v>
      </c>
      <c r="L127" s="10">
        <f>VLOOKUP(B127,'[1]Wages Sheet'!$B$8:$Q$192,16,FALSE)</f>
        <v>0</v>
      </c>
      <c r="M127" s="11">
        <f>VLOOKUP(B127,'[1]Wages Sheet'!$B$8:$T$193,19,FALSE)</f>
        <v>9000</v>
      </c>
      <c r="N127" s="11">
        <f>VLOOKUP(B127,'[1]Wages Sheet'!$B$8:$U$192,20,FALSE)</f>
        <v>0</v>
      </c>
      <c r="O127" s="11">
        <f>VLOOKUP(B127,'[1]Wages Sheet'!$B$8:$W$192,22,FALSE)</f>
        <v>0</v>
      </c>
      <c r="P127" s="11">
        <f>VLOOKUP(B127,'[1]Wages Sheet'!$B$8:$Z$192,25,FALSE)</f>
        <v>0</v>
      </c>
      <c r="Q127" s="11">
        <f>VLOOKUP(B127,'[1]Wages Sheet'!$B$8:$AD$192,28,FALSE)</f>
        <v>0</v>
      </c>
      <c r="R127" s="11">
        <f>VLOOKUP(B127,'[1]Wages Sheet'!$B$8:$AD$192,29,FALSE)</f>
        <v>0</v>
      </c>
      <c r="S127" s="11">
        <f>VLOOKUP(B127,'[1]Wages Sheet'!$B$8:$AF$192,31,FALSE)</f>
        <v>0</v>
      </c>
    </row>
    <row r="128" spans="1:19" x14ac:dyDescent="0.3">
      <c r="A128" s="8" t="s">
        <v>13</v>
      </c>
      <c r="B128" s="9" t="s">
        <v>229</v>
      </c>
      <c r="C128" s="9" t="s">
        <v>54</v>
      </c>
      <c r="D128" s="9" t="s">
        <v>58</v>
      </c>
      <c r="E128" s="9"/>
      <c r="F128" s="10">
        <v>30</v>
      </c>
      <c r="G128" s="10">
        <v>0</v>
      </c>
      <c r="H128" s="10">
        <v>30</v>
      </c>
      <c r="I128" s="10">
        <f>VLOOKUP(B128,'[1]Wages Sheet'!$B$8:$J$192,9,FALSE)</f>
        <v>0</v>
      </c>
      <c r="J128" s="10">
        <f>SUM(VLOOKUP(B128,'[1]Wages Sheet'!$B$8:$K$192,10,FALSE)+(VLOOKUP(B128,'[1]Wages Sheet'!$B$8:$L$192,11,FALSE)))</f>
        <v>0</v>
      </c>
      <c r="K128" s="10">
        <f>VLOOKUP(B128,'[1]Wages Sheet'!$B$8:$O$192,14,FALSE)</f>
        <v>0</v>
      </c>
      <c r="L128" s="10">
        <f>VLOOKUP(B128,'[1]Wages Sheet'!$B$8:$Q$192,16,FALSE)</f>
        <v>0</v>
      </c>
      <c r="M128" s="11">
        <f>VLOOKUP(B128,'[1]Wages Sheet'!$B$8:$T$193,19,FALSE)</f>
        <v>9500</v>
      </c>
      <c r="N128" s="11">
        <f>VLOOKUP(B128,'[1]Wages Sheet'!$B$8:$U$192,20,FALSE)</f>
        <v>0</v>
      </c>
      <c r="O128" s="11">
        <f>VLOOKUP(B128,'[1]Wages Sheet'!$B$8:$W$192,22,FALSE)</f>
        <v>0</v>
      </c>
      <c r="P128" s="11">
        <f>VLOOKUP(B128,'[1]Wages Sheet'!$B$8:$Z$192,25,FALSE)</f>
        <v>0</v>
      </c>
      <c r="Q128" s="11">
        <f>VLOOKUP(B128,'[1]Wages Sheet'!$B$8:$AD$192,28,FALSE)</f>
        <v>0</v>
      </c>
      <c r="R128" s="11">
        <f>VLOOKUP(B128,'[1]Wages Sheet'!$B$8:$AD$192,29,FALSE)</f>
        <v>0</v>
      </c>
      <c r="S128" s="11">
        <f>VLOOKUP(B128,'[1]Wages Sheet'!$B$8:$AF$192,31,FALSE)</f>
        <v>0</v>
      </c>
    </row>
    <row r="129" spans="1:19" x14ac:dyDescent="0.3">
      <c r="A129" s="8" t="s">
        <v>13</v>
      </c>
      <c r="B129" s="9" t="s">
        <v>230</v>
      </c>
      <c r="C129" s="9" t="s">
        <v>54</v>
      </c>
      <c r="D129" s="9" t="s">
        <v>62</v>
      </c>
      <c r="E129" s="9" t="s">
        <v>84</v>
      </c>
      <c r="F129" s="10">
        <v>30</v>
      </c>
      <c r="G129" s="10">
        <v>27</v>
      </c>
      <c r="H129" s="10">
        <v>3</v>
      </c>
      <c r="I129" s="10">
        <f>VLOOKUP(B129,'[1]Wages Sheet'!$B$8:$J$192,9,FALSE)</f>
        <v>-2</v>
      </c>
      <c r="J129" s="10">
        <f>SUM(VLOOKUP(B129,'[1]Wages Sheet'!$B$8:$K$192,10,FALSE)+(VLOOKUP(B129,'[1]Wages Sheet'!$B$8:$L$192,11,FALSE)))</f>
        <v>4</v>
      </c>
      <c r="K129" s="10">
        <f>VLOOKUP(B129,'[1]Wages Sheet'!$B$8:$O$192,14,FALSE)</f>
        <v>3</v>
      </c>
      <c r="L129" s="10">
        <f>VLOOKUP(B129,'[1]Wages Sheet'!$B$8:$Q$192,16,FALSE)</f>
        <v>1</v>
      </c>
      <c r="M129" s="11">
        <f>VLOOKUP(B129,'[1]Wages Sheet'!$B$8:$T$193,19,FALSE)</f>
        <v>16000</v>
      </c>
      <c r="N129" s="11">
        <f>VLOOKUP(B129,'[1]Wages Sheet'!$B$8:$U$192,20,FALSE)</f>
        <v>16000.000000000002</v>
      </c>
      <c r="O129" s="11">
        <f>VLOOKUP(B129,'[1]Wages Sheet'!$B$8:$W$192,22,FALSE)</f>
        <v>0</v>
      </c>
      <c r="P129" s="11">
        <f>VLOOKUP(B129,'[1]Wages Sheet'!$B$8:$Z$192,25,FALSE)</f>
        <v>9561.7741935483864</v>
      </c>
      <c r="Q129" s="11">
        <f>VLOOKUP(B129,'[1]Wages Sheet'!$B$8:$AD$192,28,FALSE)</f>
        <v>25561.774193548386</v>
      </c>
      <c r="R129" s="11">
        <f>VLOOKUP(B129,'[1]Wages Sheet'!$B$8:$AD$192,29,FALSE)</f>
        <v>25500</v>
      </c>
      <c r="S129" s="11">
        <f>VLOOKUP(B129,'[1]Wages Sheet'!$B$8:$AF$192,31,FALSE)</f>
        <v>61.774193548386393</v>
      </c>
    </row>
    <row r="130" spans="1:19" x14ac:dyDescent="0.3">
      <c r="A130" s="8" t="s">
        <v>13</v>
      </c>
      <c r="B130" s="9" t="s">
        <v>231</v>
      </c>
      <c r="C130" s="9" t="s">
        <v>64</v>
      </c>
      <c r="D130" s="9" t="s">
        <v>88</v>
      </c>
      <c r="E130" s="9" t="s">
        <v>92</v>
      </c>
      <c r="F130" s="10">
        <v>30</v>
      </c>
      <c r="G130" s="10">
        <v>28</v>
      </c>
      <c r="H130" s="10">
        <v>2</v>
      </c>
      <c r="I130" s="10">
        <f>VLOOKUP(B130,'[1]Wages Sheet'!$B$8:$J$192,9,FALSE)</f>
        <v>-1</v>
      </c>
      <c r="J130" s="10">
        <f>SUM(VLOOKUP(B130,'[1]Wages Sheet'!$B$8:$K$192,10,FALSE)+(VLOOKUP(B130,'[1]Wages Sheet'!$B$8:$L$192,11,FALSE)))</f>
        <v>4</v>
      </c>
      <c r="K130" s="10">
        <f>VLOOKUP(B130,'[1]Wages Sheet'!$B$8:$O$192,14,FALSE)</f>
        <v>0</v>
      </c>
      <c r="L130" s="10">
        <f>VLOOKUP(B130,'[1]Wages Sheet'!$B$8:$Q$192,16,FALSE)</f>
        <v>2</v>
      </c>
      <c r="M130" s="11">
        <f>VLOOKUP(B130,'[1]Wages Sheet'!$B$8:$T$193,19,FALSE)</f>
        <v>12500</v>
      </c>
      <c r="N130" s="11">
        <f>VLOOKUP(B130,'[1]Wages Sheet'!$B$8:$U$192,20,FALSE)</f>
        <v>12500</v>
      </c>
      <c r="O130" s="11">
        <f>VLOOKUP(B130,'[1]Wages Sheet'!$B$8:$W$192,22,FALSE)</f>
        <v>0</v>
      </c>
      <c r="P130" s="11">
        <f>VLOOKUP(B130,'[1]Wages Sheet'!$B$8:$Z$192,25,FALSE)</f>
        <v>12499.526881720434</v>
      </c>
      <c r="Q130" s="11">
        <f>VLOOKUP(B130,'[1]Wages Sheet'!$B$8:$AD$192,28,FALSE)</f>
        <v>24999.526881720434</v>
      </c>
      <c r="R130" s="11">
        <f>VLOOKUP(B130,'[1]Wages Sheet'!$B$8:$AD$192,29,FALSE)</f>
        <v>25000</v>
      </c>
      <c r="S130" s="11">
        <f>VLOOKUP(B130,'[1]Wages Sheet'!$B$8:$AF$192,31,FALSE)</f>
        <v>-0.4731182795658242</v>
      </c>
    </row>
    <row r="131" spans="1:19" x14ac:dyDescent="0.3">
      <c r="A131" s="8" t="s">
        <v>13</v>
      </c>
      <c r="B131" s="9" t="s">
        <v>232</v>
      </c>
      <c r="C131" s="9" t="s">
        <v>54</v>
      </c>
      <c r="D131" s="9" t="s">
        <v>116</v>
      </c>
      <c r="E131" s="9"/>
      <c r="F131" s="10">
        <v>30</v>
      </c>
      <c r="G131" s="10">
        <v>0</v>
      </c>
      <c r="H131" s="10">
        <v>30</v>
      </c>
      <c r="I131" s="10">
        <f>VLOOKUP(B131,'[1]Wages Sheet'!$B$8:$J$192,9,FALSE)</f>
        <v>0</v>
      </c>
      <c r="J131" s="10">
        <f>SUM(VLOOKUP(B131,'[1]Wages Sheet'!$B$8:$K$192,10,FALSE)+(VLOOKUP(B131,'[1]Wages Sheet'!$B$8:$L$192,11,FALSE)))</f>
        <v>0</v>
      </c>
      <c r="K131" s="10">
        <f>VLOOKUP(B131,'[1]Wages Sheet'!$B$8:$O$192,14,FALSE)</f>
        <v>0</v>
      </c>
      <c r="L131" s="10">
        <f>VLOOKUP(B131,'[1]Wages Sheet'!$B$8:$Q$192,16,FALSE)</f>
        <v>0</v>
      </c>
      <c r="M131" s="11">
        <f>VLOOKUP(B131,'[1]Wages Sheet'!$B$8:$T$193,19,FALSE)</f>
        <v>15000</v>
      </c>
      <c r="N131" s="11">
        <f>VLOOKUP(B131,'[1]Wages Sheet'!$B$8:$U$192,20,FALSE)</f>
        <v>0</v>
      </c>
      <c r="O131" s="11">
        <f>VLOOKUP(B131,'[1]Wages Sheet'!$B$8:$W$192,22,FALSE)</f>
        <v>0</v>
      </c>
      <c r="P131" s="11">
        <f>VLOOKUP(B131,'[1]Wages Sheet'!$B$8:$Z$192,25,FALSE)</f>
        <v>0</v>
      </c>
      <c r="Q131" s="11">
        <f>VLOOKUP(B131,'[1]Wages Sheet'!$B$8:$AD$192,28,FALSE)</f>
        <v>0</v>
      </c>
      <c r="R131" s="11">
        <f>VLOOKUP(B131,'[1]Wages Sheet'!$B$8:$AD$192,29,FALSE)</f>
        <v>0</v>
      </c>
      <c r="S131" s="11">
        <f>VLOOKUP(B131,'[1]Wages Sheet'!$B$8:$AF$192,31,FALSE)</f>
        <v>0</v>
      </c>
    </row>
    <row r="132" spans="1:19" x14ac:dyDescent="0.3">
      <c r="A132" s="8" t="s">
        <v>13</v>
      </c>
      <c r="B132" s="9" t="s">
        <v>233</v>
      </c>
      <c r="C132" s="9" t="s">
        <v>64</v>
      </c>
      <c r="D132" s="9" t="s">
        <v>55</v>
      </c>
      <c r="E132" s="9" t="s">
        <v>97</v>
      </c>
      <c r="F132" s="10">
        <v>30</v>
      </c>
      <c r="G132" s="10">
        <v>30</v>
      </c>
      <c r="H132" s="10">
        <v>0</v>
      </c>
      <c r="I132" s="10">
        <f>VLOOKUP(B132,'[1]Wages Sheet'!$B$8:$J$192,9,FALSE)</f>
        <v>9</v>
      </c>
      <c r="J132" s="10">
        <f>SUM(VLOOKUP(B132,'[1]Wages Sheet'!$B$8:$K$192,10,FALSE)+(VLOOKUP(B132,'[1]Wages Sheet'!$B$8:$L$192,11,FALSE)))</f>
        <v>4</v>
      </c>
      <c r="K132" s="10">
        <f>VLOOKUP(B132,'[1]Wages Sheet'!$B$8:$O$192,14,FALSE)</f>
        <v>0</v>
      </c>
      <c r="L132" s="10">
        <f>VLOOKUP(B132,'[1]Wages Sheet'!$B$8:$Q$192,16,FALSE)</f>
        <v>13</v>
      </c>
      <c r="M132" s="11">
        <f>VLOOKUP(B132,'[1]Wages Sheet'!$B$8:$T$193,19,FALSE)</f>
        <v>15500</v>
      </c>
      <c r="N132" s="11">
        <f>VLOOKUP(B132,'[1]Wages Sheet'!$B$8:$U$192,20,FALSE)</f>
        <v>15499.999999999998</v>
      </c>
      <c r="O132" s="11">
        <f>VLOOKUP(B132,'[1]Wages Sheet'!$B$8:$W$192,22,FALSE)</f>
        <v>20000</v>
      </c>
      <c r="P132" s="11">
        <f>VLOOKUP(B132,'[1]Wages Sheet'!$B$8:$Z$192,25,FALSE)</f>
        <v>0</v>
      </c>
      <c r="Q132" s="11">
        <f>VLOOKUP(B132,'[1]Wages Sheet'!$B$8:$AD$192,28,FALSE)</f>
        <v>-4500.0000000000018</v>
      </c>
      <c r="R132" s="11">
        <f>VLOOKUP(B132,'[1]Wages Sheet'!$B$8:$AD$192,29,FALSE)</f>
        <v>0</v>
      </c>
      <c r="S132" s="11">
        <f>VLOOKUP(B132,'[1]Wages Sheet'!$B$8:$AF$192,31,FALSE)</f>
        <v>-4500.0000000000018</v>
      </c>
    </row>
    <row r="133" spans="1:19" x14ac:dyDescent="0.3">
      <c r="A133" s="8" t="s">
        <v>13</v>
      </c>
      <c r="B133" s="9" t="s">
        <v>234</v>
      </c>
      <c r="C133" s="9" t="s">
        <v>54</v>
      </c>
      <c r="D133" s="9" t="s">
        <v>140</v>
      </c>
      <c r="E133" s="9" t="s">
        <v>92</v>
      </c>
      <c r="F133" s="10">
        <v>30</v>
      </c>
      <c r="G133" s="10">
        <v>28</v>
      </c>
      <c r="H133" s="10">
        <v>2</v>
      </c>
      <c r="I133" s="10">
        <f>VLOOKUP(B133,'[1]Wages Sheet'!$B$8:$J$192,9,FALSE)</f>
        <v>-1</v>
      </c>
      <c r="J133" s="10">
        <f>SUM(VLOOKUP(B133,'[1]Wages Sheet'!$B$8:$K$192,10,FALSE)+(VLOOKUP(B133,'[1]Wages Sheet'!$B$8:$L$192,11,FALSE)))</f>
        <v>4</v>
      </c>
      <c r="K133" s="10">
        <f>VLOOKUP(B133,'[1]Wages Sheet'!$B$8:$O$192,14,FALSE)</f>
        <v>0</v>
      </c>
      <c r="L133" s="10">
        <f>VLOOKUP(B133,'[1]Wages Sheet'!$B$8:$Q$192,16,FALSE)</f>
        <v>2</v>
      </c>
      <c r="M133" s="11">
        <f>VLOOKUP(B133,'[1]Wages Sheet'!$B$8:$T$193,19,FALSE)</f>
        <v>17000</v>
      </c>
      <c r="N133" s="11">
        <f>VLOOKUP(B133,'[1]Wages Sheet'!$B$8:$U$192,20,FALSE)</f>
        <v>17000</v>
      </c>
      <c r="O133" s="11">
        <f>VLOOKUP(B133,'[1]Wages Sheet'!$B$8:$W$192,22,FALSE)</f>
        <v>0</v>
      </c>
      <c r="P133" s="11">
        <f>VLOOKUP(B133,'[1]Wages Sheet'!$B$8:$Z$192,25,FALSE)</f>
        <v>17000</v>
      </c>
      <c r="Q133" s="11">
        <f>VLOOKUP(B133,'[1]Wages Sheet'!$B$8:$AD$192,28,FALSE)</f>
        <v>34000</v>
      </c>
      <c r="R133" s="11">
        <f>VLOOKUP(B133,'[1]Wages Sheet'!$B$8:$AD$192,29,FALSE)</f>
        <v>34000</v>
      </c>
      <c r="S133" s="11">
        <f>VLOOKUP(B133,'[1]Wages Sheet'!$B$8:$AF$192,31,FALSE)</f>
        <v>0</v>
      </c>
    </row>
    <row r="134" spans="1:19" x14ac:dyDescent="0.3">
      <c r="A134" s="8" t="s">
        <v>13</v>
      </c>
      <c r="B134" s="9" t="s">
        <v>235</v>
      </c>
      <c r="C134" s="9" t="s">
        <v>64</v>
      </c>
      <c r="D134" s="9" t="s">
        <v>55</v>
      </c>
      <c r="E134" s="9" t="s">
        <v>204</v>
      </c>
      <c r="F134" s="10">
        <v>30</v>
      </c>
      <c r="G134" s="10">
        <v>20</v>
      </c>
      <c r="H134" s="10">
        <v>10</v>
      </c>
      <c r="I134" s="10">
        <f>VLOOKUP(B134,'[1]Wages Sheet'!$B$8:$J$192,9,FALSE)</f>
        <v>3</v>
      </c>
      <c r="J134" s="10">
        <f>SUM(VLOOKUP(B134,'[1]Wages Sheet'!$B$8:$K$192,10,FALSE)+(VLOOKUP(B134,'[1]Wages Sheet'!$B$8:$L$192,11,FALSE)))</f>
        <v>3</v>
      </c>
      <c r="K134" s="10">
        <f>VLOOKUP(B134,'[1]Wages Sheet'!$B$8:$O$192,14,FALSE)</f>
        <v>0</v>
      </c>
      <c r="L134" s="10">
        <f>VLOOKUP(B134,'[1]Wages Sheet'!$B$8:$Q$192,16,FALSE)</f>
        <v>0</v>
      </c>
      <c r="M134" s="11">
        <f>VLOOKUP(B134,'[1]Wages Sheet'!$B$8:$T$193,19,FALSE)</f>
        <v>15500</v>
      </c>
      <c r="N134" s="11">
        <f>VLOOKUP(B134,'[1]Wages Sheet'!$B$8:$U$192,20,FALSE)</f>
        <v>13433.333333333332</v>
      </c>
      <c r="O134" s="11">
        <f>VLOOKUP(B134,'[1]Wages Sheet'!$B$8:$W$192,22,FALSE)</f>
        <v>0</v>
      </c>
      <c r="P134" s="11">
        <f>VLOOKUP(B134,'[1]Wages Sheet'!$B$8:$Z$192,25,FALSE)</f>
        <v>10220</v>
      </c>
      <c r="Q134" s="11">
        <f>VLOOKUP(B134,'[1]Wages Sheet'!$B$8:$AD$192,28,FALSE)</f>
        <v>23653.333333333332</v>
      </c>
      <c r="R134" s="11">
        <f>VLOOKUP(B134,'[1]Wages Sheet'!$B$8:$AD$192,29,FALSE)</f>
        <v>10000</v>
      </c>
      <c r="S134" s="11">
        <f>VLOOKUP(B134,'[1]Wages Sheet'!$B$8:$AF$192,31,FALSE)</f>
        <v>13653.333333333332</v>
      </c>
    </row>
    <row r="135" spans="1:19" x14ac:dyDescent="0.3">
      <c r="A135" s="8" t="s">
        <v>13</v>
      </c>
      <c r="B135" s="9" t="s">
        <v>236</v>
      </c>
      <c r="C135" s="9" t="s">
        <v>54</v>
      </c>
      <c r="D135" s="9" t="s">
        <v>62</v>
      </c>
      <c r="E135" s="9"/>
      <c r="F135" s="10">
        <v>30</v>
      </c>
      <c r="G135" s="10">
        <v>0</v>
      </c>
      <c r="H135" s="10">
        <v>30</v>
      </c>
      <c r="I135" s="10">
        <f>VLOOKUP(B135,'[1]Wages Sheet'!$B$8:$J$192,9,FALSE)</f>
        <v>0</v>
      </c>
      <c r="J135" s="10">
        <f>SUM(VLOOKUP(B135,'[1]Wages Sheet'!$B$8:$K$192,10,FALSE)+(VLOOKUP(B135,'[1]Wages Sheet'!$B$8:$L$192,11,FALSE)))</f>
        <v>0</v>
      </c>
      <c r="K135" s="10">
        <f>VLOOKUP(B135,'[1]Wages Sheet'!$B$8:$O$192,14,FALSE)</f>
        <v>0</v>
      </c>
      <c r="L135" s="10">
        <f>VLOOKUP(B135,'[1]Wages Sheet'!$B$8:$Q$192,16,FALSE)</f>
        <v>0</v>
      </c>
      <c r="M135" s="11">
        <f>VLOOKUP(B135,'[1]Wages Sheet'!$B$8:$T$193,19,FALSE)</f>
        <v>16000</v>
      </c>
      <c r="N135" s="11">
        <f>VLOOKUP(B135,'[1]Wages Sheet'!$B$8:$U$192,20,FALSE)</f>
        <v>0</v>
      </c>
      <c r="O135" s="11">
        <f>VLOOKUP(B135,'[1]Wages Sheet'!$B$8:$W$192,22,FALSE)</f>
        <v>0</v>
      </c>
      <c r="P135" s="11">
        <f>VLOOKUP(B135,'[1]Wages Sheet'!$B$8:$Z$192,25,FALSE)</f>
        <v>0.46924731182843971</v>
      </c>
      <c r="Q135" s="11">
        <f>VLOOKUP(B135,'[1]Wages Sheet'!$B$8:$AD$192,28,FALSE)</f>
        <v>0.46924731182843971</v>
      </c>
      <c r="R135" s="11">
        <f>VLOOKUP(B135,'[1]Wages Sheet'!$B$8:$AD$192,29,FALSE)</f>
        <v>0</v>
      </c>
      <c r="S135" s="11">
        <f>VLOOKUP(B135,'[1]Wages Sheet'!$B$8:$AF$192,31,FALSE)</f>
        <v>0.46924731182843971</v>
      </c>
    </row>
    <row r="136" spans="1:19" x14ac:dyDescent="0.3">
      <c r="A136" s="8" t="s">
        <v>13</v>
      </c>
      <c r="B136" s="9" t="s">
        <v>237</v>
      </c>
      <c r="C136" s="9" t="s">
        <v>54</v>
      </c>
      <c r="D136" s="9" t="s">
        <v>100</v>
      </c>
      <c r="E136" s="9"/>
      <c r="F136" s="10">
        <v>30</v>
      </c>
      <c r="G136" s="10">
        <v>0</v>
      </c>
      <c r="H136" s="10">
        <v>30</v>
      </c>
      <c r="I136" s="10">
        <f>VLOOKUP(B136,'[1]Wages Sheet'!$B$8:$J$192,9,FALSE)</f>
        <v>0</v>
      </c>
      <c r="J136" s="10">
        <f>SUM(VLOOKUP(B136,'[1]Wages Sheet'!$B$8:$K$192,10,FALSE)+(VLOOKUP(B136,'[1]Wages Sheet'!$B$8:$L$192,11,FALSE)))</f>
        <v>0</v>
      </c>
      <c r="K136" s="10">
        <f>VLOOKUP(B136,'[1]Wages Sheet'!$B$8:$O$192,14,FALSE)</f>
        <v>0</v>
      </c>
      <c r="L136" s="10">
        <f>VLOOKUP(B136,'[1]Wages Sheet'!$B$8:$Q$192,16,FALSE)</f>
        <v>0</v>
      </c>
      <c r="M136" s="11">
        <f>VLOOKUP(B136,'[1]Wages Sheet'!$B$8:$T$193,19,FALSE)</f>
        <v>9000</v>
      </c>
      <c r="N136" s="11">
        <f>VLOOKUP(B136,'[1]Wages Sheet'!$B$8:$U$192,20,FALSE)</f>
        <v>0</v>
      </c>
      <c r="O136" s="11">
        <f>VLOOKUP(B136,'[1]Wages Sheet'!$B$8:$W$192,22,FALSE)</f>
        <v>0</v>
      </c>
      <c r="P136" s="11">
        <f>VLOOKUP(B136,'[1]Wages Sheet'!$B$8:$Z$192,25,FALSE)</f>
        <v>65</v>
      </c>
      <c r="Q136" s="11">
        <f>VLOOKUP(B136,'[1]Wages Sheet'!$B$8:$AD$192,28,FALSE)</f>
        <v>65</v>
      </c>
      <c r="R136" s="11">
        <f>VLOOKUP(B136,'[1]Wages Sheet'!$B$8:$AD$192,29,FALSE)</f>
        <v>0</v>
      </c>
      <c r="S136" s="11">
        <f>VLOOKUP(B136,'[1]Wages Sheet'!$B$8:$AF$192,31,FALSE)</f>
        <v>65</v>
      </c>
    </row>
    <row r="137" spans="1:19" x14ac:dyDescent="0.3">
      <c r="A137" s="8" t="s">
        <v>13</v>
      </c>
      <c r="B137" s="9" t="s">
        <v>238</v>
      </c>
      <c r="C137" s="9" t="s">
        <v>54</v>
      </c>
      <c r="D137" s="9" t="s">
        <v>62</v>
      </c>
      <c r="E137" s="9"/>
      <c r="F137" s="10">
        <v>30</v>
      </c>
      <c r="G137" s="10">
        <v>0</v>
      </c>
      <c r="H137" s="10">
        <v>30</v>
      </c>
      <c r="I137" s="10">
        <f>VLOOKUP(B137,'[1]Wages Sheet'!$B$8:$J$192,9,FALSE)</f>
        <v>0</v>
      </c>
      <c r="J137" s="10">
        <f>SUM(VLOOKUP(B137,'[1]Wages Sheet'!$B$8:$K$192,10,FALSE)+(VLOOKUP(B137,'[1]Wages Sheet'!$B$8:$L$192,11,FALSE)))</f>
        <v>0</v>
      </c>
      <c r="K137" s="10">
        <f>VLOOKUP(B137,'[1]Wages Sheet'!$B$8:$O$192,14,FALSE)</f>
        <v>0</v>
      </c>
      <c r="L137" s="10">
        <f>VLOOKUP(B137,'[1]Wages Sheet'!$B$8:$Q$192,16,FALSE)</f>
        <v>0</v>
      </c>
      <c r="M137" s="11">
        <f>VLOOKUP(B137,'[1]Wages Sheet'!$B$8:$T$193,19,FALSE)</f>
        <v>16000</v>
      </c>
      <c r="N137" s="11">
        <f>VLOOKUP(B137,'[1]Wages Sheet'!$B$8:$U$192,20,FALSE)</f>
        <v>0</v>
      </c>
      <c r="O137" s="11">
        <f>VLOOKUP(B137,'[1]Wages Sheet'!$B$8:$W$192,22,FALSE)</f>
        <v>0</v>
      </c>
      <c r="P137" s="11">
        <f>VLOOKUP(B137,'[1]Wages Sheet'!$B$8:$Z$192,25,FALSE)</f>
        <v>0</v>
      </c>
      <c r="Q137" s="11">
        <f>VLOOKUP(B137,'[1]Wages Sheet'!$B$8:$AD$192,28,FALSE)</f>
        <v>0</v>
      </c>
      <c r="R137" s="11">
        <f>VLOOKUP(B137,'[1]Wages Sheet'!$B$8:$AD$192,29,FALSE)</f>
        <v>0</v>
      </c>
      <c r="S137" s="11">
        <f>VLOOKUP(B137,'[1]Wages Sheet'!$B$8:$AF$192,31,FALSE)</f>
        <v>0</v>
      </c>
    </row>
    <row r="138" spans="1:19" x14ac:dyDescent="0.3">
      <c r="A138" s="8" t="s">
        <v>13</v>
      </c>
      <c r="B138" s="9" t="s">
        <v>239</v>
      </c>
      <c r="C138" s="9" t="s">
        <v>64</v>
      </c>
      <c r="D138" s="9" t="s">
        <v>62</v>
      </c>
      <c r="E138" s="9" t="s">
        <v>240</v>
      </c>
      <c r="F138" s="10">
        <v>30</v>
      </c>
      <c r="G138" s="10">
        <v>25</v>
      </c>
      <c r="H138" s="10">
        <v>5</v>
      </c>
      <c r="I138" s="10">
        <f>VLOOKUP(B138,'[1]Wages Sheet'!$B$8:$J$192,9,FALSE)</f>
        <v>4</v>
      </c>
      <c r="J138" s="10">
        <f>SUM(VLOOKUP(B138,'[1]Wages Sheet'!$B$8:$K$192,10,FALSE)+(VLOOKUP(B138,'[1]Wages Sheet'!$B$8:$L$192,11,FALSE)))</f>
        <v>4</v>
      </c>
      <c r="K138" s="10">
        <f>VLOOKUP(B138,'[1]Wages Sheet'!$B$8:$O$192,14,FALSE)</f>
        <v>0</v>
      </c>
      <c r="L138" s="10">
        <f>VLOOKUP(B138,'[1]Wages Sheet'!$B$8:$Q$192,16,FALSE)</f>
        <v>3</v>
      </c>
      <c r="M138" s="11">
        <f>VLOOKUP(B138,'[1]Wages Sheet'!$B$8:$T$193,19,FALSE)</f>
        <v>16000</v>
      </c>
      <c r="N138" s="11">
        <f>VLOOKUP(B138,'[1]Wages Sheet'!$B$8:$U$192,20,FALSE)</f>
        <v>16000.000000000002</v>
      </c>
      <c r="O138" s="11">
        <f>VLOOKUP(B138,'[1]Wages Sheet'!$B$8:$W$192,22,FALSE)</f>
        <v>0</v>
      </c>
      <c r="P138" s="11">
        <f>VLOOKUP(B138,'[1]Wages Sheet'!$B$8:$Z$192,25,FALSE)</f>
        <v>11586.451612903227</v>
      </c>
      <c r="Q138" s="11">
        <f>VLOOKUP(B138,'[1]Wages Sheet'!$B$8:$AD$192,28,FALSE)</f>
        <v>27586.451612903227</v>
      </c>
      <c r="R138" s="11">
        <f>VLOOKUP(B138,'[1]Wages Sheet'!$B$8:$AD$192,29,FALSE)</f>
        <v>27600</v>
      </c>
      <c r="S138" s="11">
        <f>VLOOKUP(B138,'[1]Wages Sheet'!$B$8:$AF$192,31,FALSE)</f>
        <v>-13.548387096772785</v>
      </c>
    </row>
    <row r="139" spans="1:19" x14ac:dyDescent="0.3">
      <c r="A139" s="8" t="s">
        <v>13</v>
      </c>
      <c r="B139" s="9" t="s">
        <v>241</v>
      </c>
      <c r="C139" s="9" t="s">
        <v>64</v>
      </c>
      <c r="D139" s="9" t="s">
        <v>62</v>
      </c>
      <c r="E139" s="9" t="s">
        <v>242</v>
      </c>
      <c r="F139" s="10">
        <v>30</v>
      </c>
      <c r="G139" s="10">
        <v>28</v>
      </c>
      <c r="H139" s="10">
        <v>2</v>
      </c>
      <c r="I139" s="10">
        <f>VLOOKUP(B139,'[1]Wages Sheet'!$B$8:$J$192,9,FALSE)</f>
        <v>-4</v>
      </c>
      <c r="J139" s="10">
        <f>SUM(VLOOKUP(B139,'[1]Wages Sheet'!$B$8:$K$192,10,FALSE)+(VLOOKUP(B139,'[1]Wages Sheet'!$B$8:$L$192,11,FALSE)))</f>
        <v>4</v>
      </c>
      <c r="K139" s="10">
        <f>VLOOKUP(B139,'[1]Wages Sheet'!$B$8:$O$192,14,FALSE)</f>
        <v>2</v>
      </c>
      <c r="L139" s="10">
        <f>VLOOKUP(B139,'[1]Wages Sheet'!$B$8:$Q$192,16,FALSE)</f>
        <v>2</v>
      </c>
      <c r="M139" s="11">
        <f>VLOOKUP(B139,'[1]Wages Sheet'!$B$8:$T$193,19,FALSE)</f>
        <v>16000</v>
      </c>
      <c r="N139" s="11">
        <f>VLOOKUP(B139,'[1]Wages Sheet'!$B$8:$U$192,20,FALSE)</f>
        <v>16000.000000000002</v>
      </c>
      <c r="O139" s="11">
        <f>VLOOKUP(B139,'[1]Wages Sheet'!$B$8:$W$192,22,FALSE)</f>
        <v>0</v>
      </c>
      <c r="P139" s="11">
        <f>VLOOKUP(B139,'[1]Wages Sheet'!$B$8:$Z$192,25,FALSE)</f>
        <v>10063.193548387098</v>
      </c>
      <c r="Q139" s="11">
        <f>VLOOKUP(B139,'[1]Wages Sheet'!$B$8:$AD$192,28,FALSE)</f>
        <v>26063.193548387098</v>
      </c>
      <c r="R139" s="11">
        <f>VLOOKUP(B139,'[1]Wages Sheet'!$B$8:$AD$192,29,FALSE)</f>
        <v>26100</v>
      </c>
      <c r="S139" s="11">
        <f>VLOOKUP(B139,'[1]Wages Sheet'!$B$8:$AF$192,31,FALSE)</f>
        <v>-36.806451612901583</v>
      </c>
    </row>
    <row r="140" spans="1:19" x14ac:dyDescent="0.3">
      <c r="A140" s="8" t="s">
        <v>13</v>
      </c>
      <c r="B140" s="9" t="s">
        <v>243</v>
      </c>
      <c r="C140" s="9" t="s">
        <v>54</v>
      </c>
      <c r="D140" s="9" t="s">
        <v>192</v>
      </c>
      <c r="E140" s="9"/>
      <c r="F140" s="10">
        <v>30</v>
      </c>
      <c r="G140" s="10">
        <v>0</v>
      </c>
      <c r="H140" s="10">
        <v>30</v>
      </c>
      <c r="I140" s="10">
        <f>VLOOKUP(B140,'[1]Wages Sheet'!$B$8:$J$192,9,FALSE)</f>
        <v>0</v>
      </c>
      <c r="J140" s="10">
        <f>SUM(VLOOKUP(B140,'[1]Wages Sheet'!$B$8:$K$192,10,FALSE)+(VLOOKUP(B140,'[1]Wages Sheet'!$B$8:$L$192,11,FALSE)))</f>
        <v>0</v>
      </c>
      <c r="K140" s="10">
        <f>VLOOKUP(B140,'[1]Wages Sheet'!$B$8:$O$192,14,FALSE)</f>
        <v>0</v>
      </c>
      <c r="L140" s="10">
        <f>VLOOKUP(B140,'[1]Wages Sheet'!$B$8:$Q$192,16,FALSE)</f>
        <v>0</v>
      </c>
      <c r="M140" s="11">
        <f>VLOOKUP(B140,'[1]Wages Sheet'!$B$8:$T$193,19,FALSE)</f>
        <v>9500</v>
      </c>
      <c r="N140" s="11">
        <f>VLOOKUP(B140,'[1]Wages Sheet'!$B$8:$U$192,20,FALSE)</f>
        <v>0</v>
      </c>
      <c r="O140" s="11">
        <f>VLOOKUP(B140,'[1]Wages Sheet'!$B$8:$W$192,22,FALSE)</f>
        <v>0</v>
      </c>
      <c r="P140" s="11">
        <f>VLOOKUP(B140,'[1]Wages Sheet'!$B$8:$Z$192,25,FALSE)</f>
        <v>4936</v>
      </c>
      <c r="Q140" s="11">
        <f>VLOOKUP(B140,'[1]Wages Sheet'!$B$8:$AD$192,28,FALSE)</f>
        <v>4936</v>
      </c>
      <c r="R140" s="11">
        <f>VLOOKUP(B140,'[1]Wages Sheet'!$B$8:$AD$192,29,FALSE)</f>
        <v>0</v>
      </c>
      <c r="S140" s="11">
        <f>VLOOKUP(B140,'[1]Wages Sheet'!$B$8:$AF$192,31,FALSE)</f>
        <v>4936</v>
      </c>
    </row>
    <row r="141" spans="1:19" x14ac:dyDescent="0.3">
      <c r="A141" s="8" t="s">
        <v>13</v>
      </c>
      <c r="B141" s="9" t="s">
        <v>244</v>
      </c>
      <c r="C141" s="9" t="s">
        <v>54</v>
      </c>
      <c r="D141" s="9" t="s">
        <v>130</v>
      </c>
      <c r="E141" s="9"/>
      <c r="F141" s="10">
        <v>30</v>
      </c>
      <c r="G141" s="10">
        <v>0</v>
      </c>
      <c r="H141" s="10">
        <v>30</v>
      </c>
      <c r="I141" s="10">
        <f>VLOOKUP(B141,'[1]Wages Sheet'!$B$8:$J$192,9,FALSE)</f>
        <v>0</v>
      </c>
      <c r="J141" s="10">
        <f>SUM(VLOOKUP(B141,'[1]Wages Sheet'!$B$8:$K$192,10,FALSE)+(VLOOKUP(B141,'[1]Wages Sheet'!$B$8:$L$192,11,FALSE)))</f>
        <v>0</v>
      </c>
      <c r="K141" s="10">
        <f>VLOOKUP(B141,'[1]Wages Sheet'!$B$8:$O$192,14,FALSE)</f>
        <v>0</v>
      </c>
      <c r="L141" s="10">
        <f>VLOOKUP(B141,'[1]Wages Sheet'!$B$8:$Q$192,16,FALSE)</f>
        <v>0</v>
      </c>
      <c r="M141" s="11">
        <f>VLOOKUP(B141,'[1]Wages Sheet'!$B$8:$T$193,19,FALSE)</f>
        <v>9000</v>
      </c>
      <c r="N141" s="11">
        <f>VLOOKUP(B141,'[1]Wages Sheet'!$B$8:$U$192,20,FALSE)</f>
        <v>0</v>
      </c>
      <c r="O141" s="11">
        <f>VLOOKUP(B141,'[1]Wages Sheet'!$B$8:$W$192,22,FALSE)</f>
        <v>0</v>
      </c>
      <c r="P141" s="11">
        <f>VLOOKUP(B141,'[1]Wages Sheet'!$B$8:$Z$192,25,FALSE)</f>
        <v>0</v>
      </c>
      <c r="Q141" s="11">
        <f>VLOOKUP(B141,'[1]Wages Sheet'!$B$8:$AD$192,28,FALSE)</f>
        <v>0</v>
      </c>
      <c r="R141" s="11">
        <f>VLOOKUP(B141,'[1]Wages Sheet'!$B$8:$AD$192,29,FALSE)</f>
        <v>0</v>
      </c>
      <c r="S141" s="11">
        <f>VLOOKUP(B141,'[1]Wages Sheet'!$B$8:$AF$192,31,FALSE)</f>
        <v>0</v>
      </c>
    </row>
    <row r="142" spans="1:19" x14ac:dyDescent="0.3">
      <c r="A142" s="8" t="s">
        <v>13</v>
      </c>
      <c r="B142" s="9" t="s">
        <v>245</v>
      </c>
      <c r="C142" s="9" t="s">
        <v>64</v>
      </c>
      <c r="D142" s="9" t="s">
        <v>140</v>
      </c>
      <c r="E142" s="9" t="s">
        <v>92</v>
      </c>
      <c r="F142" s="10">
        <v>30</v>
      </c>
      <c r="G142" s="10">
        <v>27</v>
      </c>
      <c r="H142" s="10">
        <v>3</v>
      </c>
      <c r="I142" s="10">
        <f>VLOOKUP(B142,'[1]Wages Sheet'!$B$8:$J$192,9,FALSE)</f>
        <v>2</v>
      </c>
      <c r="J142" s="10">
        <f>SUM(VLOOKUP(B142,'[1]Wages Sheet'!$B$8:$K$192,10,FALSE)+(VLOOKUP(B142,'[1]Wages Sheet'!$B$8:$L$192,11,FALSE)))</f>
        <v>4</v>
      </c>
      <c r="K142" s="10">
        <f>VLOOKUP(B142,'[1]Wages Sheet'!$B$8:$O$192,14,FALSE)</f>
        <v>0</v>
      </c>
      <c r="L142" s="10">
        <f>VLOOKUP(B142,'[1]Wages Sheet'!$B$8:$Q$192,16,FALSE)</f>
        <v>3</v>
      </c>
      <c r="M142" s="11">
        <f>VLOOKUP(B142,'[1]Wages Sheet'!$B$8:$T$193,19,FALSE)</f>
        <v>17500</v>
      </c>
      <c r="N142" s="11">
        <f>VLOOKUP(B142,'[1]Wages Sheet'!$B$8:$U$192,20,FALSE)</f>
        <v>17500</v>
      </c>
      <c r="O142" s="11">
        <f>VLOOKUP(B142,'[1]Wages Sheet'!$B$8:$W$192,22,FALSE)</f>
        <v>0</v>
      </c>
      <c r="P142" s="11">
        <f>VLOOKUP(B142,'[1]Wages Sheet'!$B$8:$Z$192,25,FALSE)</f>
        <v>11160</v>
      </c>
      <c r="Q142" s="11">
        <f>VLOOKUP(B142,'[1]Wages Sheet'!$B$8:$AD$192,28,FALSE)</f>
        <v>28660</v>
      </c>
      <c r="R142" s="11">
        <f>VLOOKUP(B142,'[1]Wages Sheet'!$B$8:$AD$192,29,FALSE)</f>
        <v>28660</v>
      </c>
      <c r="S142" s="11">
        <f>VLOOKUP(B142,'[1]Wages Sheet'!$B$8:$AF$192,31,FALSE)</f>
        <v>0</v>
      </c>
    </row>
    <row r="143" spans="1:19" x14ac:dyDescent="0.3">
      <c r="A143" s="8" t="s">
        <v>13</v>
      </c>
      <c r="B143" s="9" t="s">
        <v>246</v>
      </c>
      <c r="C143" s="9" t="s">
        <v>54</v>
      </c>
      <c r="D143" s="9" t="s">
        <v>55</v>
      </c>
      <c r="E143" s="9" t="s">
        <v>56</v>
      </c>
      <c r="F143" s="10">
        <v>30</v>
      </c>
      <c r="G143" s="10">
        <v>30</v>
      </c>
      <c r="H143" s="10">
        <v>0</v>
      </c>
      <c r="I143" s="10">
        <f>VLOOKUP(B143,'[1]Wages Sheet'!$B$8:$J$192,9,FALSE)</f>
        <v>7</v>
      </c>
      <c r="J143" s="10">
        <f>SUM(VLOOKUP(B143,'[1]Wages Sheet'!$B$8:$K$192,10,FALSE)+(VLOOKUP(B143,'[1]Wages Sheet'!$B$8:$L$192,11,FALSE)))</f>
        <v>4</v>
      </c>
      <c r="K143" s="10">
        <f>VLOOKUP(B143,'[1]Wages Sheet'!$B$8:$O$192,14,FALSE)</f>
        <v>0</v>
      </c>
      <c r="L143" s="10">
        <f>VLOOKUP(B143,'[1]Wages Sheet'!$B$8:$Q$192,16,FALSE)</f>
        <v>11</v>
      </c>
      <c r="M143" s="11">
        <f>VLOOKUP(B143,'[1]Wages Sheet'!$B$8:$T$193,19,FALSE)</f>
        <v>10000</v>
      </c>
      <c r="N143" s="11">
        <f>VLOOKUP(B143,'[1]Wages Sheet'!$B$8:$U$192,20,FALSE)</f>
        <v>10000</v>
      </c>
      <c r="O143" s="11">
        <f>VLOOKUP(B143,'[1]Wages Sheet'!$B$8:$W$192,22,FALSE)</f>
        <v>0</v>
      </c>
      <c r="P143" s="11">
        <f>VLOOKUP(B143,'[1]Wages Sheet'!$B$8:$Z$192,25,FALSE)</f>
        <v>10000</v>
      </c>
      <c r="Q143" s="11">
        <f>VLOOKUP(B143,'[1]Wages Sheet'!$B$8:$AD$192,28,FALSE)</f>
        <v>20000</v>
      </c>
      <c r="R143" s="11">
        <f>VLOOKUP(B143,'[1]Wages Sheet'!$B$8:$AD$192,29,FALSE)</f>
        <v>20000</v>
      </c>
      <c r="S143" s="11">
        <f>VLOOKUP(B143,'[1]Wages Sheet'!$B$8:$AF$192,31,FALSE)</f>
        <v>0</v>
      </c>
    </row>
    <row r="144" spans="1:19" x14ac:dyDescent="0.3">
      <c r="A144" s="8" t="s">
        <v>13</v>
      </c>
      <c r="B144" s="9" t="s">
        <v>247</v>
      </c>
      <c r="C144" s="9" t="s">
        <v>54</v>
      </c>
      <c r="D144" s="9" t="s">
        <v>69</v>
      </c>
      <c r="E144" s="9"/>
      <c r="F144" s="10">
        <v>30</v>
      </c>
      <c r="G144" s="10">
        <v>0</v>
      </c>
      <c r="H144" s="10">
        <v>30</v>
      </c>
      <c r="I144" s="10">
        <f>VLOOKUP(B144,'[1]Wages Sheet'!$B$8:$J$192,9,FALSE)</f>
        <v>0</v>
      </c>
      <c r="J144" s="10">
        <f>SUM(VLOOKUP(B144,'[1]Wages Sheet'!$B$8:$K$192,10,FALSE)+(VLOOKUP(B144,'[1]Wages Sheet'!$B$8:$L$192,11,FALSE)))</f>
        <v>0</v>
      </c>
      <c r="K144" s="10">
        <f>VLOOKUP(B144,'[1]Wages Sheet'!$B$8:$O$192,14,FALSE)</f>
        <v>0</v>
      </c>
      <c r="L144" s="10">
        <f>VLOOKUP(B144,'[1]Wages Sheet'!$B$8:$Q$192,16,FALSE)</f>
        <v>0</v>
      </c>
      <c r="M144" s="11">
        <f>VLOOKUP(B144,'[1]Wages Sheet'!$B$8:$T$193,19,FALSE)</f>
        <v>9500</v>
      </c>
      <c r="N144" s="11">
        <f>VLOOKUP(B144,'[1]Wages Sheet'!$B$8:$U$192,20,FALSE)</f>
        <v>0</v>
      </c>
      <c r="O144" s="11">
        <f>VLOOKUP(B144,'[1]Wages Sheet'!$B$8:$W$192,22,FALSE)</f>
        <v>0</v>
      </c>
      <c r="P144" s="11">
        <f>VLOOKUP(B144,'[1]Wages Sheet'!$B$8:$Z$192,25,FALSE)</f>
        <v>4387.0967741935483</v>
      </c>
      <c r="Q144" s="11">
        <f>VLOOKUP(B144,'[1]Wages Sheet'!$B$8:$AD$192,28,FALSE)</f>
        <v>4387.0967741935483</v>
      </c>
      <c r="R144" s="11">
        <f>VLOOKUP(B144,'[1]Wages Sheet'!$B$8:$AD$192,29,FALSE)</f>
        <v>0</v>
      </c>
      <c r="S144" s="11">
        <f>VLOOKUP(B144,'[1]Wages Sheet'!$B$8:$AF$192,31,FALSE)</f>
        <v>4387.0967741935483</v>
      </c>
    </row>
    <row r="145" spans="1:19" x14ac:dyDescent="0.3">
      <c r="A145" s="8" t="s">
        <v>13</v>
      </c>
      <c r="B145" s="9" t="s">
        <v>248</v>
      </c>
      <c r="C145" s="9" t="s">
        <v>54</v>
      </c>
      <c r="D145" s="9" t="s">
        <v>69</v>
      </c>
      <c r="E145" s="9"/>
      <c r="F145" s="10">
        <v>30</v>
      </c>
      <c r="G145" s="10">
        <v>0</v>
      </c>
      <c r="H145" s="10">
        <v>30</v>
      </c>
      <c r="I145" s="10">
        <f>VLOOKUP(B145,'[1]Wages Sheet'!$B$8:$J$192,9,FALSE)</f>
        <v>0</v>
      </c>
      <c r="J145" s="10">
        <f>SUM(VLOOKUP(B145,'[1]Wages Sheet'!$B$8:$K$192,10,FALSE)+(VLOOKUP(B145,'[1]Wages Sheet'!$B$8:$L$192,11,FALSE)))</f>
        <v>0</v>
      </c>
      <c r="K145" s="10">
        <f>VLOOKUP(B145,'[1]Wages Sheet'!$B$8:$O$192,14,FALSE)</f>
        <v>0</v>
      </c>
      <c r="L145" s="10">
        <f>VLOOKUP(B145,'[1]Wages Sheet'!$B$8:$Q$192,16,FALSE)</f>
        <v>0</v>
      </c>
      <c r="M145" s="11">
        <f>VLOOKUP(B145,'[1]Wages Sheet'!$B$8:$T$193,19,FALSE)</f>
        <v>9500</v>
      </c>
      <c r="N145" s="11">
        <f>VLOOKUP(B145,'[1]Wages Sheet'!$B$8:$U$192,20,FALSE)</f>
        <v>0</v>
      </c>
      <c r="O145" s="11">
        <f>VLOOKUP(B145,'[1]Wages Sheet'!$B$8:$W$192,22,FALSE)</f>
        <v>0</v>
      </c>
      <c r="P145" s="11">
        <f>VLOOKUP(B145,'[1]Wages Sheet'!$B$8:$Z$192,25,FALSE)</f>
        <v>0.6236559139797464</v>
      </c>
      <c r="Q145" s="11">
        <f>VLOOKUP(B145,'[1]Wages Sheet'!$B$8:$AD$192,28,FALSE)</f>
        <v>0.6236559139797464</v>
      </c>
      <c r="R145" s="11">
        <f>VLOOKUP(B145,'[1]Wages Sheet'!$B$8:$AD$192,29,FALSE)</f>
        <v>0</v>
      </c>
      <c r="S145" s="11">
        <f>VLOOKUP(B145,'[1]Wages Sheet'!$B$8:$AF$192,31,FALSE)</f>
        <v>0.6236559139797464</v>
      </c>
    </row>
    <row r="146" spans="1:19" x14ac:dyDescent="0.3">
      <c r="A146" s="8" t="s">
        <v>13</v>
      </c>
      <c r="B146" s="9" t="s">
        <v>249</v>
      </c>
      <c r="C146" s="9" t="s">
        <v>54</v>
      </c>
      <c r="D146" s="9" t="s">
        <v>250</v>
      </c>
      <c r="E146" s="9" t="s">
        <v>56</v>
      </c>
      <c r="F146" s="10">
        <v>30</v>
      </c>
      <c r="G146" s="10">
        <v>24</v>
      </c>
      <c r="H146" s="10">
        <v>6</v>
      </c>
      <c r="I146" s="10">
        <f>VLOOKUP(B146,'[1]Wages Sheet'!$B$8:$J$192,9,FALSE)</f>
        <v>0</v>
      </c>
      <c r="J146" s="10">
        <f>SUM(VLOOKUP(B146,'[1]Wages Sheet'!$B$8:$K$192,10,FALSE)+(VLOOKUP(B146,'[1]Wages Sheet'!$B$8:$L$192,11,FALSE)))</f>
        <v>6</v>
      </c>
      <c r="K146" s="10">
        <f>VLOOKUP(B146,'[1]Wages Sheet'!$B$8:$O$192,14,FALSE)</f>
        <v>6</v>
      </c>
      <c r="L146" s="10">
        <f>VLOOKUP(B146,'[1]Wages Sheet'!$B$8:$Q$192,16,FALSE)</f>
        <v>0</v>
      </c>
      <c r="M146" s="11">
        <f>VLOOKUP(B146,'[1]Wages Sheet'!$B$8:$T$193,19,FALSE)</f>
        <v>23000</v>
      </c>
      <c r="N146" s="11">
        <f>VLOOKUP(B146,'[1]Wages Sheet'!$B$8:$U$192,20,FALSE)</f>
        <v>23000</v>
      </c>
      <c r="O146" s="11">
        <f>VLOOKUP(B146,'[1]Wages Sheet'!$B$8:$W$192,22,FALSE)</f>
        <v>11400</v>
      </c>
      <c r="P146" s="11">
        <f>VLOOKUP(B146,'[1]Wages Sheet'!$B$8:$Z$192,25,FALSE)</f>
        <v>0</v>
      </c>
      <c r="Q146" s="11">
        <f>VLOOKUP(B146,'[1]Wages Sheet'!$B$8:$AD$192,28,FALSE)</f>
        <v>11600</v>
      </c>
      <c r="R146" s="11">
        <f>VLOOKUP(B146,'[1]Wages Sheet'!$B$8:$AD$192,29,FALSE)</f>
        <v>20067</v>
      </c>
      <c r="S146" s="11">
        <f>VLOOKUP(B146,'[1]Wages Sheet'!$B$8:$AF$192,31,FALSE)</f>
        <v>-8467</v>
      </c>
    </row>
    <row r="147" spans="1:19" x14ac:dyDescent="0.3">
      <c r="A147" s="8" t="s">
        <v>13</v>
      </c>
      <c r="B147" s="9" t="s">
        <v>251</v>
      </c>
      <c r="C147" s="9" t="s">
        <v>54</v>
      </c>
      <c r="D147" s="9" t="s">
        <v>55</v>
      </c>
      <c r="E147" s="9"/>
      <c r="F147" s="10">
        <v>30</v>
      </c>
      <c r="G147" s="10">
        <v>0</v>
      </c>
      <c r="H147" s="10">
        <v>30</v>
      </c>
      <c r="I147" s="10">
        <f>VLOOKUP(B147,'[1]Wages Sheet'!$B$8:$J$192,9,FALSE)</f>
        <v>0</v>
      </c>
      <c r="J147" s="10">
        <f>SUM(VLOOKUP(B147,'[1]Wages Sheet'!$B$8:$K$192,10,FALSE)+(VLOOKUP(B147,'[1]Wages Sheet'!$B$8:$L$192,11,FALSE)))</f>
        <v>0</v>
      </c>
      <c r="K147" s="10">
        <f>VLOOKUP(B147,'[1]Wages Sheet'!$B$8:$O$192,14,FALSE)</f>
        <v>0</v>
      </c>
      <c r="L147" s="10">
        <f>VLOOKUP(B147,'[1]Wages Sheet'!$B$8:$Q$192,16,FALSE)</f>
        <v>0</v>
      </c>
      <c r="M147" s="11">
        <f>VLOOKUP(B147,'[1]Wages Sheet'!$B$8:$T$193,19,FALSE)</f>
        <v>10000</v>
      </c>
      <c r="N147" s="11">
        <f>VLOOKUP(B147,'[1]Wages Sheet'!$B$8:$U$192,20,FALSE)</f>
        <v>0</v>
      </c>
      <c r="O147" s="11">
        <f>VLOOKUP(B147,'[1]Wages Sheet'!$B$8:$W$192,22,FALSE)</f>
        <v>0</v>
      </c>
      <c r="P147" s="11">
        <f>VLOOKUP(B147,'[1]Wages Sheet'!$B$8:$Z$192,25,FALSE)</f>
        <v>0</v>
      </c>
      <c r="Q147" s="11">
        <f>VLOOKUP(B147,'[1]Wages Sheet'!$B$8:$AD$192,28,FALSE)</f>
        <v>0</v>
      </c>
      <c r="R147" s="11">
        <f>VLOOKUP(B147,'[1]Wages Sheet'!$B$8:$AD$192,29,FALSE)</f>
        <v>0</v>
      </c>
      <c r="S147" s="11">
        <f>VLOOKUP(B147,'[1]Wages Sheet'!$B$8:$AF$192,31,FALSE)</f>
        <v>0</v>
      </c>
    </row>
    <row r="148" spans="1:19" x14ac:dyDescent="0.3">
      <c r="A148" s="8" t="s">
        <v>13</v>
      </c>
      <c r="B148" s="9" t="s">
        <v>252</v>
      </c>
      <c r="C148" s="9"/>
      <c r="D148" s="9" t="s">
        <v>55</v>
      </c>
      <c r="E148" s="9" t="s">
        <v>253</v>
      </c>
      <c r="F148" s="10">
        <v>30</v>
      </c>
      <c r="G148" s="10">
        <v>30</v>
      </c>
      <c r="H148" s="10">
        <v>0</v>
      </c>
      <c r="I148" s="10">
        <f>VLOOKUP(B148,'[1]Wages Sheet'!$B$8:$J$192,9,FALSE)</f>
        <v>10</v>
      </c>
      <c r="J148" s="10">
        <f>SUM(VLOOKUP(B148,'[1]Wages Sheet'!$B$8:$K$192,10,FALSE)+(VLOOKUP(B148,'[1]Wages Sheet'!$B$8:$L$192,11,FALSE)))</f>
        <v>4</v>
      </c>
      <c r="K148" s="10">
        <f>VLOOKUP(B148,'[1]Wages Sheet'!$B$8:$O$192,14,FALSE)</f>
        <v>0</v>
      </c>
      <c r="L148" s="10">
        <f>VLOOKUP(B148,'[1]Wages Sheet'!$B$8:$Q$192,16,FALSE)</f>
        <v>14</v>
      </c>
      <c r="M148" s="11">
        <f>VLOOKUP(B148,'[1]Wages Sheet'!$B$8:$T$193,19,FALSE)</f>
        <v>10000</v>
      </c>
      <c r="N148" s="11">
        <f>VLOOKUP(B148,'[1]Wages Sheet'!$B$8:$U$192,20,FALSE)</f>
        <v>10000</v>
      </c>
      <c r="O148" s="11">
        <f>VLOOKUP(B148,'[1]Wages Sheet'!$B$8:$W$192,22,FALSE)</f>
        <v>0</v>
      </c>
      <c r="P148" s="11">
        <f>VLOOKUP(B148,'[1]Wages Sheet'!$B$8:$Z$192,25,FALSE)</f>
        <v>10000</v>
      </c>
      <c r="Q148" s="11">
        <f>VLOOKUP(B148,'[1]Wages Sheet'!$B$8:$AD$192,28,FALSE)</f>
        <v>20000</v>
      </c>
      <c r="R148" s="11">
        <f>VLOOKUP(B148,'[1]Wages Sheet'!$B$8:$AD$192,29,FALSE)</f>
        <v>20000</v>
      </c>
      <c r="S148" s="11">
        <f>VLOOKUP(B148,'[1]Wages Sheet'!$B$8:$AF$192,31,FALSE)</f>
        <v>0</v>
      </c>
    </row>
    <row r="149" spans="1:19" x14ac:dyDescent="0.3">
      <c r="A149" s="8" t="s">
        <v>13</v>
      </c>
      <c r="B149" s="9" t="s">
        <v>254</v>
      </c>
      <c r="C149" s="9"/>
      <c r="D149" s="9" t="s">
        <v>255</v>
      </c>
      <c r="E149" s="9"/>
      <c r="F149" s="10">
        <v>30</v>
      </c>
      <c r="G149" s="10">
        <v>0</v>
      </c>
      <c r="H149" s="10">
        <v>30</v>
      </c>
      <c r="I149" s="10">
        <f>VLOOKUP(B149,'[1]Wages Sheet'!$B$8:$J$192,9,FALSE)</f>
        <v>0</v>
      </c>
      <c r="J149" s="10">
        <f>SUM(VLOOKUP(B149,'[1]Wages Sheet'!$B$8:$K$192,10,FALSE)+(VLOOKUP(B149,'[1]Wages Sheet'!$B$8:$L$192,11,FALSE)))</f>
        <v>0</v>
      </c>
      <c r="K149" s="10">
        <f>VLOOKUP(B149,'[1]Wages Sheet'!$B$8:$O$192,14,FALSE)</f>
        <v>0</v>
      </c>
      <c r="L149" s="10">
        <f>VLOOKUP(B149,'[1]Wages Sheet'!$B$8:$Q$192,16,FALSE)</f>
        <v>0</v>
      </c>
      <c r="M149" s="11">
        <f>VLOOKUP(B149,'[1]Wages Sheet'!$B$8:$T$193,19,FALSE)</f>
        <v>9500</v>
      </c>
      <c r="N149" s="11">
        <f>VLOOKUP(B149,'[1]Wages Sheet'!$B$8:$U$192,20,FALSE)</f>
        <v>0</v>
      </c>
      <c r="O149" s="11">
        <f>VLOOKUP(B149,'[1]Wages Sheet'!$B$8:$W$192,22,FALSE)</f>
        <v>0</v>
      </c>
      <c r="P149" s="11">
        <f>VLOOKUP(B149,'[1]Wages Sheet'!$B$8:$Z$192,25,FALSE)</f>
        <v>842.36559139784913</v>
      </c>
      <c r="Q149" s="11">
        <f>VLOOKUP(B149,'[1]Wages Sheet'!$B$8:$AD$192,28,FALSE)</f>
        <v>842.36559139784913</v>
      </c>
      <c r="R149" s="11">
        <f>VLOOKUP(B149,'[1]Wages Sheet'!$B$8:$AD$192,29,FALSE)</f>
        <v>0</v>
      </c>
      <c r="S149" s="11">
        <f>VLOOKUP(B149,'[1]Wages Sheet'!$B$8:$AF$192,31,FALSE)</f>
        <v>842.36559139784913</v>
      </c>
    </row>
    <row r="150" spans="1:19" x14ac:dyDescent="0.3">
      <c r="A150" s="8" t="s">
        <v>13</v>
      </c>
      <c r="B150" s="9" t="s">
        <v>256</v>
      </c>
      <c r="C150" s="9"/>
      <c r="D150" s="9" t="s">
        <v>146</v>
      </c>
      <c r="E150" s="9"/>
      <c r="F150" s="10">
        <v>30</v>
      </c>
      <c r="G150" s="10">
        <v>0</v>
      </c>
      <c r="H150" s="10">
        <v>30</v>
      </c>
      <c r="I150" s="10">
        <f>VLOOKUP(B150,'[1]Wages Sheet'!$B$8:$J$192,9,FALSE)</f>
        <v>0</v>
      </c>
      <c r="J150" s="10">
        <f>SUM(VLOOKUP(B150,'[1]Wages Sheet'!$B$8:$K$192,10,FALSE)+(VLOOKUP(B150,'[1]Wages Sheet'!$B$8:$L$192,11,FALSE)))</f>
        <v>0</v>
      </c>
      <c r="K150" s="10">
        <f>VLOOKUP(B150,'[1]Wages Sheet'!$B$8:$O$192,14,FALSE)</f>
        <v>0</v>
      </c>
      <c r="L150" s="10">
        <f>VLOOKUP(B150,'[1]Wages Sheet'!$B$8:$Q$192,16,FALSE)</f>
        <v>0</v>
      </c>
      <c r="M150" s="11">
        <f>VLOOKUP(B150,'[1]Wages Sheet'!$B$8:$T$193,19,FALSE)</f>
        <v>10000</v>
      </c>
      <c r="N150" s="11">
        <f>VLOOKUP(B150,'[1]Wages Sheet'!$B$8:$U$192,20,FALSE)</f>
        <v>0</v>
      </c>
      <c r="O150" s="11">
        <f>VLOOKUP(B150,'[1]Wages Sheet'!$B$8:$W$192,22,FALSE)</f>
        <v>0</v>
      </c>
      <c r="P150" s="11">
        <f>VLOOKUP(B150,'[1]Wages Sheet'!$B$8:$Z$192,25,FALSE)</f>
        <v>0.12903225806439877</v>
      </c>
      <c r="Q150" s="11">
        <f>VLOOKUP(B150,'[1]Wages Sheet'!$B$8:$AD$192,28,FALSE)</f>
        <v>0.12903225806439877</v>
      </c>
      <c r="R150" s="11">
        <f>VLOOKUP(B150,'[1]Wages Sheet'!$B$8:$AD$192,29,FALSE)</f>
        <v>0</v>
      </c>
      <c r="S150" s="11">
        <f>VLOOKUP(B150,'[1]Wages Sheet'!$B$8:$AF$192,31,FALSE)</f>
        <v>0.12903225806439877</v>
      </c>
    </row>
    <row r="151" spans="1:19" x14ac:dyDescent="0.3">
      <c r="A151" s="8" t="s">
        <v>13</v>
      </c>
      <c r="B151" s="9" t="s">
        <v>257</v>
      </c>
      <c r="C151" s="9"/>
      <c r="D151" s="9" t="s">
        <v>110</v>
      </c>
      <c r="E151" s="9" t="s">
        <v>242</v>
      </c>
      <c r="F151" s="10">
        <v>30</v>
      </c>
      <c r="G151" s="10">
        <v>18</v>
      </c>
      <c r="H151" s="10">
        <v>12</v>
      </c>
      <c r="I151" s="10">
        <f>VLOOKUP(B151,'[1]Wages Sheet'!$B$8:$J$192,9,FALSE)</f>
        <v>-1</v>
      </c>
      <c r="J151" s="10">
        <f>SUM(VLOOKUP(B151,'[1]Wages Sheet'!$B$8:$K$192,10,FALSE)+(VLOOKUP(B151,'[1]Wages Sheet'!$B$8:$L$192,11,FALSE)))</f>
        <v>10</v>
      </c>
      <c r="K151" s="10">
        <f>VLOOKUP(B151,'[1]Wages Sheet'!$B$8:$O$192,14,FALSE)</f>
        <v>10</v>
      </c>
      <c r="L151" s="10">
        <f>VLOOKUP(B151,'[1]Wages Sheet'!$B$8:$Q$192,16,FALSE)</f>
        <v>0</v>
      </c>
      <c r="M151" s="11">
        <f>VLOOKUP(B151,'[1]Wages Sheet'!$B$8:$T$193,19,FALSE)</f>
        <v>19000</v>
      </c>
      <c r="N151" s="11">
        <f>VLOOKUP(B151,'[1]Wages Sheet'!$B$8:$U$192,20,FALSE)</f>
        <v>17733.333333333336</v>
      </c>
      <c r="O151" s="11">
        <f>VLOOKUP(B151,'[1]Wages Sheet'!$B$8:$W$192,22,FALSE)</f>
        <v>11000.172043010753</v>
      </c>
      <c r="P151" s="11">
        <f>VLOOKUP(B151,'[1]Wages Sheet'!$B$8:$Z$192,25,FALSE)</f>
        <v>0</v>
      </c>
      <c r="Q151" s="11">
        <f>VLOOKUP(B151,'[1]Wages Sheet'!$B$8:$AD$192,28,FALSE)</f>
        <v>6733.1612903225832</v>
      </c>
      <c r="R151" s="11">
        <f>VLOOKUP(B151,'[1]Wages Sheet'!$B$8:$AD$192,29,FALSE)</f>
        <v>6733</v>
      </c>
      <c r="S151" s="11">
        <f>VLOOKUP(B151,'[1]Wages Sheet'!$B$8:$AF$192,31,FALSE)</f>
        <v>0.16129032258322695</v>
      </c>
    </row>
    <row r="152" spans="1:19" x14ac:dyDescent="0.3">
      <c r="A152" s="8" t="s">
        <v>13</v>
      </c>
      <c r="B152" s="9" t="s">
        <v>258</v>
      </c>
      <c r="C152" s="9"/>
      <c r="D152" s="9" t="s">
        <v>58</v>
      </c>
      <c r="E152" s="9" t="s">
        <v>56</v>
      </c>
      <c r="F152" s="10">
        <v>30</v>
      </c>
      <c r="G152" s="10">
        <v>28</v>
      </c>
      <c r="H152" s="10">
        <v>2</v>
      </c>
      <c r="I152" s="10">
        <f>VLOOKUP(B152,'[1]Wages Sheet'!$B$8:$J$192,9,FALSE)</f>
        <v>1</v>
      </c>
      <c r="J152" s="10">
        <f>SUM(VLOOKUP(B152,'[1]Wages Sheet'!$B$8:$K$192,10,FALSE)+(VLOOKUP(B152,'[1]Wages Sheet'!$B$8:$L$192,11,FALSE)))</f>
        <v>4</v>
      </c>
      <c r="K152" s="10">
        <f>VLOOKUP(B152,'[1]Wages Sheet'!$B$8:$O$192,14,FALSE)</f>
        <v>2</v>
      </c>
      <c r="L152" s="10">
        <f>VLOOKUP(B152,'[1]Wages Sheet'!$B$8:$Q$192,16,FALSE)</f>
        <v>3</v>
      </c>
      <c r="M152" s="11">
        <f>VLOOKUP(B152,'[1]Wages Sheet'!$B$8:$T$193,19,FALSE)</f>
        <v>9500</v>
      </c>
      <c r="N152" s="11">
        <f>VLOOKUP(B152,'[1]Wages Sheet'!$B$8:$U$192,20,FALSE)</f>
        <v>9500</v>
      </c>
      <c r="O152" s="11">
        <f>VLOOKUP(B152,'[1]Wages Sheet'!$B$8:$W$192,22,FALSE)</f>
        <v>0</v>
      </c>
      <c r="P152" s="11">
        <f>VLOOKUP(B152,'[1]Wages Sheet'!$B$8:$Z$192,25,FALSE)</f>
        <v>9499.9784946236541</v>
      </c>
      <c r="Q152" s="11">
        <f>VLOOKUP(B152,'[1]Wages Sheet'!$B$8:$AD$192,28,FALSE)</f>
        <v>18999.978494623654</v>
      </c>
      <c r="R152" s="11">
        <f>VLOOKUP(B152,'[1]Wages Sheet'!$B$8:$AD$192,29,FALSE)</f>
        <v>19000</v>
      </c>
      <c r="S152" s="11">
        <f>VLOOKUP(B152,'[1]Wages Sheet'!$B$8:$AF$192,31,FALSE)</f>
        <v>-2.1505376345885452E-2</v>
      </c>
    </row>
    <row r="153" spans="1:19" x14ac:dyDescent="0.3">
      <c r="A153" s="8" t="s">
        <v>13</v>
      </c>
      <c r="B153" s="9" t="s">
        <v>259</v>
      </c>
      <c r="C153" s="9" t="s">
        <v>54</v>
      </c>
      <c r="D153" s="9"/>
      <c r="E153" s="9"/>
      <c r="F153" s="10">
        <v>30</v>
      </c>
      <c r="G153" s="10">
        <v>0</v>
      </c>
      <c r="H153" s="10">
        <v>30</v>
      </c>
      <c r="I153" s="10">
        <f>VLOOKUP(B153,'[1]Wages Sheet'!$B$8:$J$192,9,FALSE)</f>
        <v>0</v>
      </c>
      <c r="J153" s="10">
        <f>SUM(VLOOKUP(B153,'[1]Wages Sheet'!$B$8:$K$192,10,FALSE)+(VLOOKUP(B153,'[1]Wages Sheet'!$B$8:$L$192,11,FALSE)))</f>
        <v>0</v>
      </c>
      <c r="K153" s="10">
        <f>VLOOKUP(B153,'[1]Wages Sheet'!$B$8:$O$192,14,FALSE)</f>
        <v>0</v>
      </c>
      <c r="L153" s="10">
        <f>VLOOKUP(B153,'[1]Wages Sheet'!$B$8:$Q$192,16,FALSE)</f>
        <v>0</v>
      </c>
      <c r="M153" s="11">
        <f>VLOOKUP(B153,'[1]Wages Sheet'!$B$8:$T$193,19,FALSE)</f>
        <v>0</v>
      </c>
      <c r="N153" s="11">
        <f>VLOOKUP(B153,'[1]Wages Sheet'!$B$8:$U$192,20,FALSE)</f>
        <v>0</v>
      </c>
      <c r="O153" s="11">
        <f>VLOOKUP(B153,'[1]Wages Sheet'!$B$8:$W$192,22,FALSE)</f>
        <v>0</v>
      </c>
      <c r="P153" s="11">
        <f>VLOOKUP(B153,'[1]Wages Sheet'!$B$8:$Z$192,25,FALSE)</f>
        <v>0</v>
      </c>
      <c r="Q153" s="11">
        <f>VLOOKUP(B153,'[1]Wages Sheet'!$B$8:$AD$192,28,FALSE)</f>
        <v>0</v>
      </c>
      <c r="R153" s="11">
        <f>VLOOKUP(B153,'[1]Wages Sheet'!$B$8:$AD$192,29,FALSE)</f>
        <v>0</v>
      </c>
      <c r="S153" s="11">
        <f>VLOOKUP(B153,'[1]Wages Sheet'!$B$8:$AF$192,31,FALSE)</f>
        <v>0</v>
      </c>
    </row>
    <row r="154" spans="1:19" x14ac:dyDescent="0.3">
      <c r="A154" s="8" t="s">
        <v>13</v>
      </c>
      <c r="B154" s="9" t="s">
        <v>260</v>
      </c>
      <c r="C154" s="9" t="s">
        <v>54</v>
      </c>
      <c r="D154" s="9" t="s">
        <v>100</v>
      </c>
      <c r="E154" s="9" t="s">
        <v>56</v>
      </c>
      <c r="F154" s="10">
        <v>30</v>
      </c>
      <c r="G154" s="10">
        <v>26</v>
      </c>
      <c r="H154" s="10">
        <v>4</v>
      </c>
      <c r="I154" s="10">
        <f>VLOOKUP(B154,'[1]Wages Sheet'!$B$8:$J$192,9,FALSE)</f>
        <v>0</v>
      </c>
      <c r="J154" s="10">
        <f>SUM(VLOOKUP(B154,'[1]Wages Sheet'!$B$8:$K$192,10,FALSE)+(VLOOKUP(B154,'[1]Wages Sheet'!$B$8:$L$192,11,FALSE)))</f>
        <v>0</v>
      </c>
      <c r="K154" s="10">
        <f>VLOOKUP(B154,'[1]Wages Sheet'!$B$8:$O$192,14,FALSE)</f>
        <v>0</v>
      </c>
      <c r="L154" s="10">
        <f>VLOOKUP(B154,'[1]Wages Sheet'!$B$8:$Q$192,16,FALSE)</f>
        <v>0</v>
      </c>
      <c r="M154" s="11">
        <f>VLOOKUP(B154,'[1]Wages Sheet'!$B$8:$T$193,19,FALSE)</f>
        <v>9000</v>
      </c>
      <c r="N154" s="11">
        <f>VLOOKUP(B154,'[1]Wages Sheet'!$B$8:$U$192,20,FALSE)</f>
        <v>7800</v>
      </c>
      <c r="O154" s="11">
        <f>VLOOKUP(B154,'[1]Wages Sheet'!$B$8:$W$192,22,FALSE)</f>
        <v>0</v>
      </c>
      <c r="P154" s="11">
        <f>VLOOKUP(B154,'[1]Wages Sheet'!$B$8:$Z$192,25,FALSE)</f>
        <v>7838.5192012288808</v>
      </c>
      <c r="Q154" s="11">
        <f>VLOOKUP(B154,'[1]Wages Sheet'!$B$8:$AD$192,28,FALSE)</f>
        <v>15638.519201228881</v>
      </c>
      <c r="R154" s="11">
        <f>VLOOKUP(B154,'[1]Wages Sheet'!$B$8:$AD$192,29,FALSE)</f>
        <v>15650</v>
      </c>
      <c r="S154" s="11">
        <f>VLOOKUP(B154,'[1]Wages Sheet'!$B$8:$AF$192,31,FALSE)</f>
        <v>-11.480798771119225</v>
      </c>
    </row>
    <row r="155" spans="1:19" x14ac:dyDescent="0.3">
      <c r="A155" s="8" t="s">
        <v>13</v>
      </c>
      <c r="B155" s="9" t="s">
        <v>261</v>
      </c>
      <c r="C155" s="9" t="s">
        <v>54</v>
      </c>
      <c r="D155" s="9" t="s">
        <v>55</v>
      </c>
      <c r="E155" s="9" t="s">
        <v>56</v>
      </c>
      <c r="F155" s="10">
        <v>30</v>
      </c>
      <c r="G155" s="10">
        <v>20</v>
      </c>
      <c r="H155" s="10">
        <v>10</v>
      </c>
      <c r="I155" s="10">
        <f>VLOOKUP(B155,'[1]Wages Sheet'!$B$8:$J$192,9,FALSE)</f>
        <v>7</v>
      </c>
      <c r="J155" s="10">
        <f>SUM(VLOOKUP(B155,'[1]Wages Sheet'!$B$8:$K$192,10,FALSE)+(VLOOKUP(B155,'[1]Wages Sheet'!$B$8:$L$192,11,FALSE)))</f>
        <v>3</v>
      </c>
      <c r="K155" s="10">
        <f>VLOOKUP(B155,'[1]Wages Sheet'!$B$8:$O$192,14,FALSE)</f>
        <v>10</v>
      </c>
      <c r="L155" s="10">
        <f>VLOOKUP(B155,'[1]Wages Sheet'!$B$8:$Q$192,16,FALSE)</f>
        <v>0</v>
      </c>
      <c r="M155" s="11">
        <f>VLOOKUP(B155,'[1]Wages Sheet'!$B$8:$T$193,19,FALSE)</f>
        <v>15000</v>
      </c>
      <c r="N155" s="11">
        <f>VLOOKUP(B155,'[1]Wages Sheet'!$B$8:$U$192,20,FALSE)</f>
        <v>15000</v>
      </c>
      <c r="O155" s="11">
        <f>VLOOKUP(B155,'[1]Wages Sheet'!$B$8:$W$192,22,FALSE)</f>
        <v>0</v>
      </c>
      <c r="P155" s="11">
        <f>VLOOKUP(B155,'[1]Wages Sheet'!$B$8:$Z$192,25,FALSE)</f>
        <v>15000.258064516129</v>
      </c>
      <c r="Q155" s="11">
        <f>VLOOKUP(B155,'[1]Wages Sheet'!$B$8:$AD$192,28,FALSE)</f>
        <v>30000.258064516129</v>
      </c>
      <c r="R155" s="11">
        <f>VLOOKUP(B155,'[1]Wages Sheet'!$B$8:$AD$192,29,FALSE)</f>
        <v>30000</v>
      </c>
      <c r="S155" s="11">
        <f>VLOOKUP(B155,'[1]Wages Sheet'!$B$8:$AF$192,31,FALSE)</f>
        <v>0.25806451612879755</v>
      </c>
    </row>
    <row r="156" spans="1:19" x14ac:dyDescent="0.3">
      <c r="A156" s="8" t="s">
        <v>13</v>
      </c>
      <c r="B156" s="9" t="s">
        <v>262</v>
      </c>
      <c r="C156" s="9" t="s">
        <v>54</v>
      </c>
      <c r="D156" s="9" t="s">
        <v>62</v>
      </c>
      <c r="E156" s="9" t="s">
        <v>119</v>
      </c>
      <c r="F156" s="10">
        <v>30</v>
      </c>
      <c r="G156" s="10">
        <v>29</v>
      </c>
      <c r="H156" s="10">
        <v>1</v>
      </c>
      <c r="I156" s="10">
        <f>VLOOKUP(B156,'[1]Wages Sheet'!$B$8:$J$192,9,FALSE)</f>
        <v>1</v>
      </c>
      <c r="J156" s="10">
        <f>SUM(VLOOKUP(B156,'[1]Wages Sheet'!$B$8:$K$192,10,FALSE)+(VLOOKUP(B156,'[1]Wages Sheet'!$B$8:$L$192,11,FALSE)))</f>
        <v>4</v>
      </c>
      <c r="K156" s="10">
        <f>VLOOKUP(B156,'[1]Wages Sheet'!$B$8:$O$192,14,FALSE)</f>
        <v>1</v>
      </c>
      <c r="L156" s="10">
        <f>VLOOKUP(B156,'[1]Wages Sheet'!$B$8:$Q$192,16,FALSE)</f>
        <v>4</v>
      </c>
      <c r="M156" s="11">
        <f>VLOOKUP(B156,'[1]Wages Sheet'!$B$8:$T$193,19,FALSE)</f>
        <v>16000</v>
      </c>
      <c r="N156" s="11">
        <f>VLOOKUP(B156,'[1]Wages Sheet'!$B$8:$U$192,20,FALSE)</f>
        <v>16000.000000000002</v>
      </c>
      <c r="O156" s="11">
        <f>VLOOKUP(B156,'[1]Wages Sheet'!$B$8:$W$192,22,FALSE)</f>
        <v>0</v>
      </c>
      <c r="P156" s="11">
        <f>VLOOKUP(B156,'[1]Wages Sheet'!$B$8:$Z$192,25,FALSE)</f>
        <v>16000.387096774197</v>
      </c>
      <c r="Q156" s="11">
        <f>VLOOKUP(B156,'[1]Wages Sheet'!$B$8:$AD$192,28,FALSE)</f>
        <v>32000.387096774197</v>
      </c>
      <c r="R156" s="11">
        <f>VLOOKUP(B156,'[1]Wages Sheet'!$B$8:$AD$192,29,FALSE)</f>
        <v>32000</v>
      </c>
      <c r="S156" s="11">
        <f>VLOOKUP(B156,'[1]Wages Sheet'!$B$8:$AF$192,31,FALSE)</f>
        <v>0.3870967741968343</v>
      </c>
    </row>
    <row r="157" spans="1:19" x14ac:dyDescent="0.3">
      <c r="A157" s="8" t="s">
        <v>13</v>
      </c>
      <c r="B157" s="9" t="s">
        <v>263</v>
      </c>
      <c r="C157" s="9" t="s">
        <v>54</v>
      </c>
      <c r="D157" s="9" t="s">
        <v>264</v>
      </c>
      <c r="E157" s="9" t="s">
        <v>56</v>
      </c>
      <c r="F157" s="10">
        <v>30</v>
      </c>
      <c r="G157" s="10">
        <v>28</v>
      </c>
      <c r="H157" s="10">
        <v>2</v>
      </c>
      <c r="I157" s="10">
        <f>VLOOKUP(B157,'[1]Wages Sheet'!$B$8:$J$192,9,FALSE)</f>
        <v>2</v>
      </c>
      <c r="J157" s="10">
        <f>SUM(VLOOKUP(B157,'[1]Wages Sheet'!$B$8:$K$192,10,FALSE)+(VLOOKUP(B157,'[1]Wages Sheet'!$B$8:$L$192,11,FALSE)))</f>
        <v>4</v>
      </c>
      <c r="K157" s="10">
        <f>VLOOKUP(B157,'[1]Wages Sheet'!$B$8:$O$192,14,FALSE)</f>
        <v>2</v>
      </c>
      <c r="L157" s="10">
        <f>VLOOKUP(B157,'[1]Wages Sheet'!$B$8:$Q$192,16,FALSE)</f>
        <v>4</v>
      </c>
      <c r="M157" s="11">
        <f>VLOOKUP(B157,'[1]Wages Sheet'!$B$8:$T$193,19,FALSE)</f>
        <v>9500</v>
      </c>
      <c r="N157" s="11">
        <f>VLOOKUP(B157,'[1]Wages Sheet'!$B$8:$U$192,20,FALSE)</f>
        <v>9500</v>
      </c>
      <c r="O157" s="11">
        <f>VLOOKUP(B157,'[1]Wages Sheet'!$B$8:$W$192,22,FALSE)</f>
        <v>0</v>
      </c>
      <c r="P157" s="11">
        <f>VLOOKUP(B157,'[1]Wages Sheet'!$B$8:$Z$192,25,FALSE)</f>
        <v>7966.4086021505382</v>
      </c>
      <c r="Q157" s="11">
        <f>VLOOKUP(B157,'[1]Wages Sheet'!$B$8:$AD$192,28,FALSE)</f>
        <v>17466.408602150539</v>
      </c>
      <c r="R157" s="11">
        <f>VLOOKUP(B157,'[1]Wages Sheet'!$B$8:$AD$192,29,FALSE)</f>
        <v>17466</v>
      </c>
      <c r="S157" s="11">
        <f>VLOOKUP(B157,'[1]Wages Sheet'!$B$8:$AF$192,31,FALSE)</f>
        <v>0.40860215053908178</v>
      </c>
    </row>
    <row r="158" spans="1:19" x14ac:dyDescent="0.3">
      <c r="A158" s="8" t="s">
        <v>13</v>
      </c>
      <c r="B158" s="9" t="s">
        <v>265</v>
      </c>
      <c r="C158" s="9" t="s">
        <v>54</v>
      </c>
      <c r="D158" s="9" t="s">
        <v>58</v>
      </c>
      <c r="E158" s="9"/>
      <c r="F158" s="10">
        <v>30</v>
      </c>
      <c r="G158" s="10">
        <v>0</v>
      </c>
      <c r="H158" s="10">
        <v>30</v>
      </c>
      <c r="I158" s="10">
        <f>VLOOKUP(B158,'[1]Wages Sheet'!$B$8:$J$192,9,FALSE)</f>
        <v>0</v>
      </c>
      <c r="J158" s="10">
        <f>SUM(VLOOKUP(B158,'[1]Wages Sheet'!$B$8:$K$192,10,FALSE)+(VLOOKUP(B158,'[1]Wages Sheet'!$B$8:$L$192,11,FALSE)))</f>
        <v>0</v>
      </c>
      <c r="K158" s="10">
        <f>VLOOKUP(B158,'[1]Wages Sheet'!$B$8:$O$192,14,FALSE)</f>
        <v>0</v>
      </c>
      <c r="L158" s="10">
        <f>VLOOKUP(B158,'[1]Wages Sheet'!$B$8:$Q$192,16,FALSE)</f>
        <v>0</v>
      </c>
      <c r="M158" s="11">
        <f>VLOOKUP(B158,'[1]Wages Sheet'!$B$8:$T$193,19,FALSE)</f>
        <v>9500</v>
      </c>
      <c r="N158" s="11">
        <f>VLOOKUP(B158,'[1]Wages Sheet'!$B$8:$U$192,20,FALSE)</f>
        <v>0</v>
      </c>
      <c r="O158" s="11">
        <f>VLOOKUP(B158,'[1]Wages Sheet'!$B$8:$W$192,22,FALSE)</f>
        <v>0</v>
      </c>
      <c r="P158" s="11">
        <f>VLOOKUP(B158,'[1]Wages Sheet'!$B$8:$Z$192,25,FALSE)</f>
        <v>3666.6666666666652</v>
      </c>
      <c r="Q158" s="11">
        <f>VLOOKUP(B158,'[1]Wages Sheet'!$B$8:$AD$192,28,FALSE)</f>
        <v>3666.6666666666652</v>
      </c>
      <c r="R158" s="11">
        <f>VLOOKUP(B158,'[1]Wages Sheet'!$B$8:$AD$192,29,FALSE)</f>
        <v>0</v>
      </c>
      <c r="S158" s="11">
        <f>VLOOKUP(B158,'[1]Wages Sheet'!$B$8:$AF$192,31,FALSE)</f>
        <v>3666.6666666666652</v>
      </c>
    </row>
    <row r="159" spans="1:19" x14ac:dyDescent="0.3">
      <c r="A159" s="8" t="s">
        <v>13</v>
      </c>
      <c r="B159" s="9" t="s">
        <v>266</v>
      </c>
      <c r="C159" s="9" t="s">
        <v>54</v>
      </c>
      <c r="D159" s="9" t="s">
        <v>132</v>
      </c>
      <c r="E159" s="9" t="s">
        <v>97</v>
      </c>
      <c r="F159" s="10">
        <v>30</v>
      </c>
      <c r="G159" s="10">
        <v>29</v>
      </c>
      <c r="H159" s="10">
        <v>1</v>
      </c>
      <c r="I159" s="10">
        <f>VLOOKUP(B159,'[1]Wages Sheet'!$B$8:$J$192,9,FALSE)</f>
        <v>1</v>
      </c>
      <c r="J159" s="10">
        <f>SUM(VLOOKUP(B159,'[1]Wages Sheet'!$B$8:$K$192,10,FALSE)+(VLOOKUP(B159,'[1]Wages Sheet'!$B$8:$L$192,11,FALSE)))</f>
        <v>4</v>
      </c>
      <c r="K159" s="10">
        <f>VLOOKUP(B159,'[1]Wages Sheet'!$B$8:$O$192,14,FALSE)</f>
        <v>0</v>
      </c>
      <c r="L159" s="10">
        <f>VLOOKUP(B159,'[1]Wages Sheet'!$B$8:$Q$192,16,FALSE)</f>
        <v>4</v>
      </c>
      <c r="M159" s="11">
        <f>VLOOKUP(B159,'[1]Wages Sheet'!$B$8:$T$193,19,FALSE)</f>
        <v>12000</v>
      </c>
      <c r="N159" s="11">
        <f>VLOOKUP(B159,'[1]Wages Sheet'!$B$8:$U$192,20,FALSE)</f>
        <v>12000</v>
      </c>
      <c r="O159" s="11">
        <f>VLOOKUP(B159,'[1]Wages Sheet'!$B$8:$W$192,22,FALSE)</f>
        <v>0</v>
      </c>
      <c r="P159" s="11">
        <f>VLOOKUP(B159,'[1]Wages Sheet'!$B$8:$Z$192,25,FALSE)</f>
        <v>11990.322580645159</v>
      </c>
      <c r="Q159" s="11">
        <f>VLOOKUP(B159,'[1]Wages Sheet'!$B$8:$AD$192,28,FALSE)</f>
        <v>23990.322580645159</v>
      </c>
      <c r="R159" s="11">
        <f>VLOOKUP(B159,'[1]Wages Sheet'!$B$8:$AD$192,29,FALSE)</f>
        <v>28000</v>
      </c>
      <c r="S159" s="11">
        <f>VLOOKUP(B159,'[1]Wages Sheet'!$B$8:$AF$192,31,FALSE)</f>
        <v>-4009.6774193548408</v>
      </c>
    </row>
    <row r="160" spans="1:19" x14ac:dyDescent="0.3">
      <c r="A160" s="8" t="s">
        <v>13</v>
      </c>
      <c r="B160" s="9" t="s">
        <v>267</v>
      </c>
      <c r="C160" s="9" t="s">
        <v>54</v>
      </c>
      <c r="D160" s="9" t="s">
        <v>268</v>
      </c>
      <c r="E160" s="9"/>
      <c r="F160" s="10">
        <v>30</v>
      </c>
      <c r="G160" s="10">
        <v>0</v>
      </c>
      <c r="H160" s="10">
        <v>30</v>
      </c>
      <c r="I160" s="10">
        <f>VLOOKUP(B160,'[1]Wages Sheet'!$B$8:$J$192,9,FALSE)</f>
        <v>0</v>
      </c>
      <c r="J160" s="10">
        <f>SUM(VLOOKUP(B160,'[1]Wages Sheet'!$B$8:$K$192,10,FALSE)+(VLOOKUP(B160,'[1]Wages Sheet'!$B$8:$L$192,11,FALSE)))</f>
        <v>0</v>
      </c>
      <c r="K160" s="10">
        <f>VLOOKUP(B160,'[1]Wages Sheet'!$B$8:$O$192,14,FALSE)</f>
        <v>0</v>
      </c>
      <c r="L160" s="10">
        <f>VLOOKUP(B160,'[1]Wages Sheet'!$B$8:$Q$192,16,FALSE)</f>
        <v>0</v>
      </c>
      <c r="M160" s="11">
        <f>VLOOKUP(B160,'[1]Wages Sheet'!$B$8:$T$193,19,FALSE)</f>
        <v>9500</v>
      </c>
      <c r="N160" s="11">
        <f>VLOOKUP(B160,'[1]Wages Sheet'!$B$8:$U$192,20,FALSE)</f>
        <v>0</v>
      </c>
      <c r="O160" s="11">
        <f>VLOOKUP(B160,'[1]Wages Sheet'!$B$8:$W$192,22,FALSE)</f>
        <v>0.32258064516099694</v>
      </c>
      <c r="P160" s="11">
        <f>VLOOKUP(B160,'[1]Wages Sheet'!$B$8:$Z$192,25,FALSE)</f>
        <v>0</v>
      </c>
      <c r="Q160" s="11">
        <f>VLOOKUP(B160,'[1]Wages Sheet'!$B$8:$AD$192,28,FALSE)</f>
        <v>-0.32258064516099694</v>
      </c>
      <c r="R160" s="11">
        <f>VLOOKUP(B160,'[1]Wages Sheet'!$B$8:$AD$192,29,FALSE)</f>
        <v>0</v>
      </c>
      <c r="S160" s="11">
        <f>VLOOKUP(B160,'[1]Wages Sheet'!$B$8:$AF$192,31,FALSE)</f>
        <v>-0.32258064516099694</v>
      </c>
    </row>
    <row r="161" spans="1:19" x14ac:dyDescent="0.3">
      <c r="A161" s="8" t="s">
        <v>13</v>
      </c>
      <c r="B161" s="9" t="s">
        <v>269</v>
      </c>
      <c r="C161" s="9" t="s">
        <v>54</v>
      </c>
      <c r="D161" s="9" t="s">
        <v>270</v>
      </c>
      <c r="E161" s="9" t="s">
        <v>56</v>
      </c>
      <c r="F161" s="10">
        <v>30</v>
      </c>
      <c r="G161" s="10">
        <v>28</v>
      </c>
      <c r="H161" s="10">
        <v>2</v>
      </c>
      <c r="I161" s="10">
        <f>VLOOKUP(B161,'[1]Wages Sheet'!$B$8:$J$192,9,FALSE)</f>
        <v>-9</v>
      </c>
      <c r="J161" s="10">
        <f>SUM(VLOOKUP(B161,'[1]Wages Sheet'!$B$8:$K$192,10,FALSE)+(VLOOKUP(B161,'[1]Wages Sheet'!$B$8:$L$192,11,FALSE)))</f>
        <v>4</v>
      </c>
      <c r="K161" s="10">
        <f>VLOOKUP(B161,'[1]Wages Sheet'!$B$8:$O$192,14,FALSE)</f>
        <v>2</v>
      </c>
      <c r="L161" s="10">
        <f>VLOOKUP(B161,'[1]Wages Sheet'!$B$8:$Q$192,16,FALSE)</f>
        <v>2</v>
      </c>
      <c r="M161" s="11">
        <f>VLOOKUP(B161,'[1]Wages Sheet'!$B$8:$T$193,19,FALSE)</f>
        <v>15000</v>
      </c>
      <c r="N161" s="11">
        <f>VLOOKUP(B161,'[1]Wages Sheet'!$B$8:$U$192,20,FALSE)</f>
        <v>15000</v>
      </c>
      <c r="O161" s="11">
        <f>VLOOKUP(B161,'[1]Wages Sheet'!$B$8:$W$192,22,FALSE)</f>
        <v>0</v>
      </c>
      <c r="P161" s="11">
        <f>VLOOKUP(B161,'[1]Wages Sheet'!$B$8:$Z$192,25,FALSE)</f>
        <v>7256.7741935483882</v>
      </c>
      <c r="Q161" s="11">
        <f>VLOOKUP(B161,'[1]Wages Sheet'!$B$8:$AD$192,28,FALSE)</f>
        <v>22256.774193548386</v>
      </c>
      <c r="R161" s="11">
        <f>VLOOKUP(B161,'[1]Wages Sheet'!$B$8:$AD$192,29,FALSE)</f>
        <v>22260</v>
      </c>
      <c r="S161" s="11">
        <f>VLOOKUP(B161,'[1]Wages Sheet'!$B$8:$AF$192,31,FALSE)</f>
        <v>-3.2258064516136074</v>
      </c>
    </row>
    <row r="162" spans="1:19" x14ac:dyDescent="0.3">
      <c r="A162" s="8" t="s">
        <v>13</v>
      </c>
      <c r="B162" s="9" t="s">
        <v>271</v>
      </c>
      <c r="C162" s="9" t="s">
        <v>54</v>
      </c>
      <c r="D162" s="9" t="s">
        <v>207</v>
      </c>
      <c r="E162" s="9" t="s">
        <v>56</v>
      </c>
      <c r="F162" s="10">
        <v>30</v>
      </c>
      <c r="G162" s="10">
        <v>0</v>
      </c>
      <c r="H162" s="10">
        <v>30</v>
      </c>
      <c r="I162" s="10">
        <f>VLOOKUP(B162,'[1]Wages Sheet'!$B$8:$J$192,9,FALSE)</f>
        <v>-2</v>
      </c>
      <c r="J162" s="10">
        <f>SUM(VLOOKUP(B162,'[1]Wages Sheet'!$B$8:$K$192,10,FALSE)+(VLOOKUP(B162,'[1]Wages Sheet'!$B$8:$L$192,11,FALSE)))</f>
        <v>0</v>
      </c>
      <c r="K162" s="10">
        <f>VLOOKUP(B162,'[1]Wages Sheet'!$B$8:$O$192,14,FALSE)</f>
        <v>0</v>
      </c>
      <c r="L162" s="10">
        <f>VLOOKUP(B162,'[1]Wages Sheet'!$B$8:$Q$192,16,FALSE)</f>
        <v>-2</v>
      </c>
      <c r="M162" s="11">
        <f>VLOOKUP(B162,'[1]Wages Sheet'!$B$8:$T$193,19,FALSE)</f>
        <v>15500</v>
      </c>
      <c r="N162" s="11">
        <f>VLOOKUP(B162,'[1]Wages Sheet'!$B$8:$U$192,20,FALSE)</f>
        <v>0</v>
      </c>
      <c r="O162" s="11">
        <f>VLOOKUP(B162,'[1]Wages Sheet'!$B$8:$W$192,22,FALSE)</f>
        <v>0</v>
      </c>
      <c r="P162" s="11">
        <f>VLOOKUP(B162,'[1]Wages Sheet'!$B$8:$Z$192,25,FALSE)</f>
        <v>5496.6666666666642</v>
      </c>
      <c r="Q162" s="11">
        <f>VLOOKUP(B162,'[1]Wages Sheet'!$B$8:$AD$192,28,FALSE)</f>
        <v>5496.6666666666642</v>
      </c>
      <c r="R162" s="11">
        <f>VLOOKUP(B162,'[1]Wages Sheet'!$B$8:$AD$192,29,FALSE)</f>
        <v>5500</v>
      </c>
      <c r="S162" s="11">
        <f>VLOOKUP(B162,'[1]Wages Sheet'!$B$8:$AF$192,31,FALSE)</f>
        <v>-3.3333333333357587</v>
      </c>
    </row>
    <row r="163" spans="1:19" x14ac:dyDescent="0.3">
      <c r="A163" s="8" t="s">
        <v>13</v>
      </c>
      <c r="B163" s="9" t="s">
        <v>272</v>
      </c>
      <c r="C163" s="9" t="s">
        <v>54</v>
      </c>
      <c r="D163" s="9" t="s">
        <v>273</v>
      </c>
      <c r="E163" s="9"/>
      <c r="F163" s="10">
        <v>30</v>
      </c>
      <c r="G163" s="10">
        <v>0</v>
      </c>
      <c r="H163" s="10">
        <v>30</v>
      </c>
      <c r="I163" s="10">
        <f>VLOOKUP(B163,'[1]Wages Sheet'!$B$8:$J$192,9,FALSE)</f>
        <v>0</v>
      </c>
      <c r="J163" s="10">
        <f>SUM(VLOOKUP(B163,'[1]Wages Sheet'!$B$8:$K$192,10,FALSE)+(VLOOKUP(B163,'[1]Wages Sheet'!$B$8:$L$192,11,FALSE)))</f>
        <v>0</v>
      </c>
      <c r="K163" s="10">
        <f>VLOOKUP(B163,'[1]Wages Sheet'!$B$8:$O$192,14,FALSE)</f>
        <v>0</v>
      </c>
      <c r="L163" s="10">
        <f>VLOOKUP(B163,'[1]Wages Sheet'!$B$8:$Q$192,16,FALSE)</f>
        <v>0</v>
      </c>
      <c r="M163" s="11">
        <f>VLOOKUP(B163,'[1]Wages Sheet'!$B$8:$T$193,19,FALSE)</f>
        <v>16000</v>
      </c>
      <c r="N163" s="11">
        <f>VLOOKUP(B163,'[1]Wages Sheet'!$B$8:$U$192,20,FALSE)</f>
        <v>0</v>
      </c>
      <c r="O163" s="11">
        <f>VLOOKUP(B163,'[1]Wages Sheet'!$B$8:$W$192,22,FALSE)</f>
        <v>0</v>
      </c>
      <c r="P163" s="11">
        <f>VLOOKUP(B163,'[1]Wages Sheet'!$B$8:$Z$192,25,FALSE)</f>
        <v>483.33333333333331</v>
      </c>
      <c r="Q163" s="11">
        <f>VLOOKUP(B163,'[1]Wages Sheet'!$B$8:$AD$192,28,FALSE)</f>
        <v>483.33333333333331</v>
      </c>
      <c r="R163" s="11">
        <f>VLOOKUP(B163,'[1]Wages Sheet'!$B$8:$AD$192,29,FALSE)</f>
        <v>0</v>
      </c>
      <c r="S163" s="11">
        <f>VLOOKUP(B163,'[1]Wages Sheet'!$B$8:$AF$192,31,FALSE)</f>
        <v>483.33333333333331</v>
      </c>
    </row>
    <row r="164" spans="1:19" x14ac:dyDescent="0.3">
      <c r="A164" s="8" t="s">
        <v>13</v>
      </c>
      <c r="B164" s="9" t="s">
        <v>274</v>
      </c>
      <c r="C164" s="9" t="s">
        <v>54</v>
      </c>
      <c r="D164" s="9" t="s">
        <v>275</v>
      </c>
      <c r="E164" s="9"/>
      <c r="F164" s="10">
        <v>30</v>
      </c>
      <c r="G164" s="10">
        <v>0</v>
      </c>
      <c r="H164" s="10">
        <v>30</v>
      </c>
      <c r="I164" s="10">
        <f>VLOOKUP(B164,'[1]Wages Sheet'!$B$8:$J$192,9,FALSE)</f>
        <v>0</v>
      </c>
      <c r="J164" s="10">
        <f>SUM(VLOOKUP(B164,'[1]Wages Sheet'!$B$8:$K$192,10,FALSE)+(VLOOKUP(B164,'[1]Wages Sheet'!$B$8:$L$192,11,FALSE)))</f>
        <v>0</v>
      </c>
      <c r="K164" s="10">
        <f>VLOOKUP(B164,'[1]Wages Sheet'!$B$8:$O$192,14,FALSE)</f>
        <v>0</v>
      </c>
      <c r="L164" s="10">
        <f>VLOOKUP(B164,'[1]Wages Sheet'!$B$8:$Q$192,16,FALSE)</f>
        <v>0</v>
      </c>
      <c r="M164" s="11">
        <f>VLOOKUP(B164,'[1]Wages Sheet'!$B$8:$T$193,19,FALSE)</f>
        <v>9500</v>
      </c>
      <c r="N164" s="11">
        <f>VLOOKUP(B164,'[1]Wages Sheet'!$B$8:$U$192,20,FALSE)</f>
        <v>0</v>
      </c>
      <c r="O164" s="11">
        <f>VLOOKUP(B164,'[1]Wages Sheet'!$B$8:$W$192,22,FALSE)</f>
        <v>9.0949470177292824E-13</v>
      </c>
      <c r="P164" s="11">
        <f>VLOOKUP(B164,'[1]Wages Sheet'!$B$8:$Z$192,25,FALSE)</f>
        <v>0</v>
      </c>
      <c r="Q164" s="11">
        <f>VLOOKUP(B164,'[1]Wages Sheet'!$B$8:$AD$192,28,FALSE)</f>
        <v>-9.0949470177292824E-13</v>
      </c>
      <c r="R164" s="11">
        <f>VLOOKUP(B164,'[1]Wages Sheet'!$B$8:$AD$192,29,FALSE)</f>
        <v>0</v>
      </c>
      <c r="S164" s="11">
        <f>VLOOKUP(B164,'[1]Wages Sheet'!$B$8:$AF$192,31,FALSE)</f>
        <v>-9.0949470177292824E-13</v>
      </c>
    </row>
    <row r="165" spans="1:19" x14ac:dyDescent="0.3">
      <c r="A165" s="8" t="s">
        <v>13</v>
      </c>
      <c r="B165" s="9" t="s">
        <v>276</v>
      </c>
      <c r="C165" s="9" t="s">
        <v>54</v>
      </c>
      <c r="D165" s="9" t="s">
        <v>277</v>
      </c>
      <c r="E165" s="9" t="s">
        <v>56</v>
      </c>
      <c r="F165" s="10">
        <v>30</v>
      </c>
      <c r="G165" s="10">
        <v>28</v>
      </c>
      <c r="H165" s="10">
        <v>2</v>
      </c>
      <c r="I165" s="10">
        <f>VLOOKUP(B165,'[1]Wages Sheet'!$B$8:$J$192,9,FALSE)</f>
        <v>2</v>
      </c>
      <c r="J165" s="10">
        <f>SUM(VLOOKUP(B165,'[1]Wages Sheet'!$B$8:$K$192,10,FALSE)+(VLOOKUP(B165,'[1]Wages Sheet'!$B$8:$L$192,11,FALSE)))</f>
        <v>4</v>
      </c>
      <c r="K165" s="10">
        <f>VLOOKUP(B165,'[1]Wages Sheet'!$B$8:$O$192,14,FALSE)</f>
        <v>2</v>
      </c>
      <c r="L165" s="10">
        <f>VLOOKUP(B165,'[1]Wages Sheet'!$B$8:$Q$192,16,FALSE)</f>
        <v>4</v>
      </c>
      <c r="M165" s="11">
        <f>VLOOKUP(B165,'[1]Wages Sheet'!$B$8:$T$193,19,FALSE)</f>
        <v>9500</v>
      </c>
      <c r="N165" s="11">
        <f>VLOOKUP(B165,'[1]Wages Sheet'!$B$8:$U$192,20,FALSE)</f>
        <v>9500</v>
      </c>
      <c r="O165" s="11">
        <f>VLOOKUP(B165,'[1]Wages Sheet'!$B$8:$W$192,22,FALSE)</f>
        <v>0</v>
      </c>
      <c r="P165" s="11">
        <f>VLOOKUP(B165,'[1]Wages Sheet'!$B$8:$Z$192,25,FALSE)</f>
        <v>9499.4838709677424</v>
      </c>
      <c r="Q165" s="11">
        <f>VLOOKUP(B165,'[1]Wages Sheet'!$B$8:$AD$192,28,FALSE)</f>
        <v>18999.483870967742</v>
      </c>
      <c r="R165" s="11">
        <f>VLOOKUP(B165,'[1]Wages Sheet'!$B$8:$AD$192,29,FALSE)</f>
        <v>19000</v>
      </c>
      <c r="S165" s="11">
        <f>VLOOKUP(B165,'[1]Wages Sheet'!$B$8:$AF$192,31,FALSE)</f>
        <v>-0.5161290322575951</v>
      </c>
    </row>
    <row r="166" spans="1:19" x14ac:dyDescent="0.3">
      <c r="A166" s="8" t="s">
        <v>13</v>
      </c>
      <c r="B166" s="9" t="s">
        <v>278</v>
      </c>
      <c r="C166" s="9" t="s">
        <v>54</v>
      </c>
      <c r="D166" s="9" t="s">
        <v>58</v>
      </c>
      <c r="E166" s="9" t="s">
        <v>92</v>
      </c>
      <c r="F166" s="10">
        <v>30</v>
      </c>
      <c r="G166" s="10">
        <v>20</v>
      </c>
      <c r="H166" s="10">
        <v>10</v>
      </c>
      <c r="I166" s="10">
        <f>VLOOKUP(B166,'[1]Wages Sheet'!$B$8:$J$192,9,FALSE)</f>
        <v>0</v>
      </c>
      <c r="J166" s="10">
        <f>SUM(VLOOKUP(B166,'[1]Wages Sheet'!$B$8:$K$192,10,FALSE)+(VLOOKUP(B166,'[1]Wages Sheet'!$B$8:$L$192,11,FALSE)))</f>
        <v>3</v>
      </c>
      <c r="K166" s="10">
        <f>VLOOKUP(B166,'[1]Wages Sheet'!$B$8:$O$192,14,FALSE)</f>
        <v>0</v>
      </c>
      <c r="L166" s="10">
        <f>VLOOKUP(B166,'[1]Wages Sheet'!$B$8:$Q$192,16,FALSE)</f>
        <v>0</v>
      </c>
      <c r="M166" s="11">
        <f>VLOOKUP(B166,'[1]Wages Sheet'!$B$8:$T$193,19,FALSE)</f>
        <v>9500</v>
      </c>
      <c r="N166" s="11">
        <f>VLOOKUP(B166,'[1]Wages Sheet'!$B$8:$U$192,20,FALSE)</f>
        <v>7283.3333333333339</v>
      </c>
      <c r="O166" s="11">
        <f>VLOOKUP(B166,'[1]Wages Sheet'!$B$8:$W$192,22,FALSE)</f>
        <v>0</v>
      </c>
      <c r="P166" s="11">
        <f>VLOOKUP(B166,'[1]Wages Sheet'!$B$8:$Z$192,25,FALSE)</f>
        <v>6129.1290322580608</v>
      </c>
      <c r="Q166" s="11">
        <f>VLOOKUP(B166,'[1]Wages Sheet'!$B$8:$AD$192,28,FALSE)</f>
        <v>13412.462365591395</v>
      </c>
      <c r="R166" s="11">
        <f>VLOOKUP(B166,'[1]Wages Sheet'!$B$8:$AD$192,29,FALSE)</f>
        <v>13500</v>
      </c>
      <c r="S166" s="11">
        <f>VLOOKUP(B166,'[1]Wages Sheet'!$B$8:$AF$192,31,FALSE)</f>
        <v>-87.5376344086053</v>
      </c>
    </row>
    <row r="167" spans="1:19" x14ac:dyDescent="0.3">
      <c r="A167" s="8" t="s">
        <v>13</v>
      </c>
      <c r="B167" s="9" t="s">
        <v>279</v>
      </c>
      <c r="C167" s="9" t="s">
        <v>54</v>
      </c>
      <c r="D167" s="9" t="s">
        <v>55</v>
      </c>
      <c r="E167" s="9"/>
      <c r="F167" s="10">
        <v>30</v>
      </c>
      <c r="G167" s="10">
        <v>0</v>
      </c>
      <c r="H167" s="10">
        <v>30</v>
      </c>
      <c r="I167" s="10">
        <f>VLOOKUP(B167,'[1]Wages Sheet'!$B$8:$J$192,9,FALSE)</f>
        <v>0</v>
      </c>
      <c r="J167" s="10">
        <f>SUM(VLOOKUP(B167,'[1]Wages Sheet'!$B$8:$K$192,10,FALSE)+(VLOOKUP(B167,'[1]Wages Sheet'!$B$8:$L$192,11,FALSE)))</f>
        <v>0</v>
      </c>
      <c r="K167" s="10">
        <f>VLOOKUP(B167,'[1]Wages Sheet'!$B$8:$O$192,14,FALSE)</f>
        <v>0</v>
      </c>
      <c r="L167" s="10">
        <f>VLOOKUP(B167,'[1]Wages Sheet'!$B$8:$Q$192,16,FALSE)</f>
        <v>0</v>
      </c>
      <c r="M167" s="11">
        <f>VLOOKUP(B167,'[1]Wages Sheet'!$B$8:$T$193,19,FALSE)</f>
        <v>0</v>
      </c>
      <c r="N167" s="11">
        <f>VLOOKUP(B167,'[1]Wages Sheet'!$B$8:$U$192,20,FALSE)</f>
        <v>0</v>
      </c>
      <c r="O167" s="11">
        <f>VLOOKUP(B167,'[1]Wages Sheet'!$B$8:$W$192,22,FALSE)</f>
        <v>0</v>
      </c>
      <c r="P167" s="11">
        <f>VLOOKUP(B167,'[1]Wages Sheet'!$B$8:$Z$192,25,FALSE)</f>
        <v>0</v>
      </c>
      <c r="Q167" s="11">
        <f>VLOOKUP(B167,'[1]Wages Sheet'!$B$8:$AD$192,28,FALSE)</f>
        <v>0</v>
      </c>
      <c r="R167" s="11">
        <f>VLOOKUP(B167,'[1]Wages Sheet'!$B$8:$AD$192,29,FALSE)</f>
        <v>0</v>
      </c>
      <c r="S167" s="11">
        <f>VLOOKUP(B167,'[1]Wages Sheet'!$B$8:$AF$192,31,FALSE)</f>
        <v>0</v>
      </c>
    </row>
    <row r="168" spans="1:19" x14ac:dyDescent="0.3">
      <c r="A168" s="8" t="s">
        <v>13</v>
      </c>
      <c r="B168" s="9" t="s">
        <v>280</v>
      </c>
      <c r="C168" s="9" t="s">
        <v>54</v>
      </c>
      <c r="D168" s="9" t="s">
        <v>62</v>
      </c>
      <c r="E168" s="9"/>
      <c r="F168" s="10">
        <v>30</v>
      </c>
      <c r="G168" s="10">
        <v>0</v>
      </c>
      <c r="H168" s="10">
        <v>30</v>
      </c>
      <c r="I168" s="10">
        <f>VLOOKUP(B168,'[1]Wages Sheet'!$B$8:$J$192,9,FALSE)</f>
        <v>0</v>
      </c>
      <c r="J168" s="10">
        <f>SUM(VLOOKUP(B168,'[1]Wages Sheet'!$B$8:$K$192,10,FALSE)+(VLOOKUP(B168,'[1]Wages Sheet'!$B$8:$L$192,11,FALSE)))</f>
        <v>0</v>
      </c>
      <c r="K168" s="10">
        <f>VLOOKUP(B168,'[1]Wages Sheet'!$B$8:$O$192,14,FALSE)</f>
        <v>0</v>
      </c>
      <c r="L168" s="10">
        <f>VLOOKUP(B168,'[1]Wages Sheet'!$B$8:$Q$192,16,FALSE)</f>
        <v>0</v>
      </c>
      <c r="M168" s="11">
        <f>VLOOKUP(B168,'[1]Wages Sheet'!$B$8:$T$193,19,FALSE)</f>
        <v>16000</v>
      </c>
      <c r="N168" s="11">
        <f>VLOOKUP(B168,'[1]Wages Sheet'!$B$8:$U$192,20,FALSE)</f>
        <v>0</v>
      </c>
      <c r="O168" s="11">
        <f>VLOOKUP(B168,'[1]Wages Sheet'!$B$8:$W$192,22,FALSE)</f>
        <v>0</v>
      </c>
      <c r="P168" s="11">
        <f>VLOOKUP(B168,'[1]Wages Sheet'!$B$8:$Z$192,25,FALSE)</f>
        <v>133.81720430107634</v>
      </c>
      <c r="Q168" s="11">
        <f>VLOOKUP(B168,'[1]Wages Sheet'!$B$8:$AD$192,28,FALSE)</f>
        <v>133.81720430107634</v>
      </c>
      <c r="R168" s="11">
        <f>VLOOKUP(B168,'[1]Wages Sheet'!$B$8:$AD$192,29,FALSE)</f>
        <v>0</v>
      </c>
      <c r="S168" s="11">
        <f>VLOOKUP(B168,'[1]Wages Sheet'!$B$8:$AF$192,31,FALSE)</f>
        <v>133.81720430107634</v>
      </c>
    </row>
    <row r="169" spans="1:19" x14ac:dyDescent="0.3">
      <c r="A169" s="8" t="s">
        <v>13</v>
      </c>
      <c r="B169" s="9" t="s">
        <v>281</v>
      </c>
      <c r="C169" s="9" t="s">
        <v>54</v>
      </c>
      <c r="D169" s="9" t="s">
        <v>55</v>
      </c>
      <c r="E169" s="9" t="s">
        <v>56</v>
      </c>
      <c r="F169" s="10">
        <v>30</v>
      </c>
      <c r="G169" s="10">
        <v>30</v>
      </c>
      <c r="H169" s="10">
        <v>0</v>
      </c>
      <c r="I169" s="10">
        <f>VLOOKUP(B169,'[1]Wages Sheet'!$B$8:$J$192,9,FALSE)</f>
        <v>-29</v>
      </c>
      <c r="J169" s="10">
        <f>SUM(VLOOKUP(B169,'[1]Wages Sheet'!$B$8:$K$192,10,FALSE)+(VLOOKUP(B169,'[1]Wages Sheet'!$B$8:$L$192,11,FALSE)))</f>
        <v>4</v>
      </c>
      <c r="K169" s="10">
        <f>VLOOKUP(B169,'[1]Wages Sheet'!$B$8:$O$192,14,FALSE)</f>
        <v>0</v>
      </c>
      <c r="L169" s="10">
        <f>VLOOKUP(B169,'[1]Wages Sheet'!$B$8:$Q$192,16,FALSE)</f>
        <v>4</v>
      </c>
      <c r="M169" s="11">
        <f>VLOOKUP(B169,'[1]Wages Sheet'!$B$8:$T$193,19,FALSE)</f>
        <v>25000</v>
      </c>
      <c r="N169" s="11">
        <f>VLOOKUP(B169,'[1]Wages Sheet'!$B$8:$U$192,20,FALSE)</f>
        <v>25000</v>
      </c>
      <c r="O169" s="11">
        <f>VLOOKUP(B169,'[1]Wages Sheet'!$B$8:$W$192,22,FALSE)</f>
        <v>0</v>
      </c>
      <c r="P169" s="11">
        <f>VLOOKUP(B169,'[1]Wages Sheet'!$B$8:$Z$192,25,FALSE)</f>
        <v>6582</v>
      </c>
      <c r="Q169" s="11">
        <f>VLOOKUP(B169,'[1]Wages Sheet'!$B$8:$AD$192,28,FALSE)</f>
        <v>31582</v>
      </c>
      <c r="R169" s="11">
        <f>VLOOKUP(B169,'[1]Wages Sheet'!$B$8:$AD$192,29,FALSE)</f>
        <v>46582</v>
      </c>
      <c r="S169" s="11">
        <f>VLOOKUP(B169,'[1]Wages Sheet'!$B$8:$AF$192,31,FALSE)</f>
        <v>-15000</v>
      </c>
    </row>
    <row r="170" spans="1:19" x14ac:dyDescent="0.3">
      <c r="A170" s="8" t="s">
        <v>13</v>
      </c>
      <c r="B170" s="9" t="s">
        <v>282</v>
      </c>
      <c r="C170" s="9" t="s">
        <v>54</v>
      </c>
      <c r="D170" s="9" t="s">
        <v>113</v>
      </c>
      <c r="E170" s="9" t="s">
        <v>119</v>
      </c>
      <c r="F170" s="10">
        <v>30</v>
      </c>
      <c r="G170" s="10">
        <v>25</v>
      </c>
      <c r="H170" s="10">
        <v>5</v>
      </c>
      <c r="I170" s="10">
        <f>VLOOKUP(B170,'[1]Wages Sheet'!$B$8:$J$192,9,FALSE)</f>
        <v>-3</v>
      </c>
      <c r="J170" s="10">
        <f>SUM(VLOOKUP(B170,'[1]Wages Sheet'!$B$8:$K$192,10,FALSE)+(VLOOKUP(B170,'[1]Wages Sheet'!$B$8:$L$192,11,FALSE)))</f>
        <v>4</v>
      </c>
      <c r="K170" s="10">
        <f>VLOOKUP(B170,'[1]Wages Sheet'!$B$8:$O$192,14,FALSE)</f>
        <v>4</v>
      </c>
      <c r="L170" s="10">
        <f>VLOOKUP(B170,'[1]Wages Sheet'!$B$8:$Q$192,16,FALSE)</f>
        <v>0</v>
      </c>
      <c r="M170" s="11">
        <f>VLOOKUP(B170,'[1]Wages Sheet'!$B$8:$T$193,19,FALSE)</f>
        <v>9500</v>
      </c>
      <c r="N170" s="11">
        <f>VLOOKUP(B170,'[1]Wages Sheet'!$B$8:$U$192,20,FALSE)</f>
        <v>9183.3333333333339</v>
      </c>
      <c r="O170" s="11">
        <f>VLOOKUP(B170,'[1]Wages Sheet'!$B$8:$W$192,22,FALSE)</f>
        <v>0</v>
      </c>
      <c r="P170" s="11">
        <f>VLOOKUP(B170,'[1]Wages Sheet'!$B$8:$Z$192,25,FALSE)</f>
        <v>8274.5376344086017</v>
      </c>
      <c r="Q170" s="11">
        <f>VLOOKUP(B170,'[1]Wages Sheet'!$B$8:$AD$192,28,FALSE)</f>
        <v>17457.870967741936</v>
      </c>
      <c r="R170" s="11">
        <f>VLOOKUP(B170,'[1]Wages Sheet'!$B$8:$AD$192,29,FALSE)</f>
        <v>17460</v>
      </c>
      <c r="S170" s="11">
        <f>VLOOKUP(B170,'[1]Wages Sheet'!$B$8:$AF$192,31,FALSE)</f>
        <v>-2.1290322580643988</v>
      </c>
    </row>
    <row r="171" spans="1:19" x14ac:dyDescent="0.3">
      <c r="A171" s="8" t="s">
        <v>13</v>
      </c>
      <c r="B171" s="9" t="s">
        <v>283</v>
      </c>
      <c r="C171" s="9" t="s">
        <v>54</v>
      </c>
      <c r="D171" s="9" t="s">
        <v>62</v>
      </c>
      <c r="E171" s="9" t="s">
        <v>119</v>
      </c>
      <c r="F171" s="10">
        <v>30</v>
      </c>
      <c r="G171" s="10">
        <v>7</v>
      </c>
      <c r="H171" s="10">
        <v>23</v>
      </c>
      <c r="I171" s="10">
        <f>VLOOKUP(B171,'[1]Wages Sheet'!$B$8:$J$192,9,FALSE)</f>
        <v>6</v>
      </c>
      <c r="J171" s="10">
        <f>SUM(VLOOKUP(B171,'[1]Wages Sheet'!$B$8:$K$192,10,FALSE)+(VLOOKUP(B171,'[1]Wages Sheet'!$B$8:$L$192,11,FALSE)))</f>
        <v>0</v>
      </c>
      <c r="K171" s="10">
        <f>VLOOKUP(B171,'[1]Wages Sheet'!$B$8:$O$192,14,FALSE)</f>
        <v>6</v>
      </c>
      <c r="L171" s="10">
        <f>VLOOKUP(B171,'[1]Wages Sheet'!$B$8:$Q$192,16,FALSE)</f>
        <v>0</v>
      </c>
      <c r="M171" s="11">
        <f>VLOOKUP(B171,'[1]Wages Sheet'!$B$8:$T$193,19,FALSE)</f>
        <v>16000</v>
      </c>
      <c r="N171" s="11">
        <f>VLOOKUP(B171,'[1]Wages Sheet'!$B$8:$U$192,20,FALSE)</f>
        <v>6933.3333333333339</v>
      </c>
      <c r="O171" s="11">
        <f>VLOOKUP(B171,'[1]Wages Sheet'!$B$8:$W$192,22,FALSE)</f>
        <v>0</v>
      </c>
      <c r="P171" s="11">
        <f>VLOOKUP(B171,'[1]Wages Sheet'!$B$8:$Z$192,25,FALSE)</f>
        <v>516.12903225806451</v>
      </c>
      <c r="Q171" s="11">
        <f>VLOOKUP(B171,'[1]Wages Sheet'!$B$8:$AD$192,28,FALSE)</f>
        <v>7449.4623655913983</v>
      </c>
      <c r="R171" s="11">
        <f>VLOOKUP(B171,'[1]Wages Sheet'!$B$8:$AD$192,29,FALSE)</f>
        <v>7450</v>
      </c>
      <c r="S171" s="11">
        <f>VLOOKUP(B171,'[1]Wages Sheet'!$B$8:$AF$192,31,FALSE)</f>
        <v>-0.53763440860166156</v>
      </c>
    </row>
    <row r="172" spans="1:19" x14ac:dyDescent="0.3">
      <c r="A172" s="8" t="s">
        <v>13</v>
      </c>
      <c r="B172" s="9" t="s">
        <v>284</v>
      </c>
      <c r="C172" s="9" t="s">
        <v>54</v>
      </c>
      <c r="D172" s="9" t="s">
        <v>113</v>
      </c>
      <c r="E172" s="9"/>
      <c r="F172" s="10">
        <v>30</v>
      </c>
      <c r="G172" s="10">
        <v>0</v>
      </c>
      <c r="H172" s="10">
        <v>30</v>
      </c>
      <c r="I172" s="10">
        <f>VLOOKUP(B172,'[1]Wages Sheet'!$B$8:$J$192,9,FALSE)</f>
        <v>0</v>
      </c>
      <c r="J172" s="10">
        <f>SUM(VLOOKUP(B172,'[1]Wages Sheet'!$B$8:$K$192,10,FALSE)+(VLOOKUP(B172,'[1]Wages Sheet'!$B$8:$L$192,11,FALSE)))</f>
        <v>0</v>
      </c>
      <c r="K172" s="10">
        <f>VLOOKUP(B172,'[1]Wages Sheet'!$B$8:$O$192,14,FALSE)</f>
        <v>0</v>
      </c>
      <c r="L172" s="10">
        <f>VLOOKUP(B172,'[1]Wages Sheet'!$B$8:$Q$192,16,FALSE)</f>
        <v>0</v>
      </c>
      <c r="M172" s="11">
        <f>VLOOKUP(B172,'[1]Wages Sheet'!$B$8:$T$193,19,FALSE)</f>
        <v>8500</v>
      </c>
      <c r="N172" s="11">
        <f>VLOOKUP(B172,'[1]Wages Sheet'!$B$8:$U$192,20,FALSE)</f>
        <v>0</v>
      </c>
      <c r="O172" s="11">
        <f>VLOOKUP(B172,'[1]Wages Sheet'!$B$8:$W$192,22,FALSE)</f>
        <v>0</v>
      </c>
      <c r="P172" s="11">
        <f>VLOOKUP(B172,'[1]Wages Sheet'!$B$8:$Z$192,25,FALSE)</f>
        <v>0.66666666666651508</v>
      </c>
      <c r="Q172" s="11">
        <f>VLOOKUP(B172,'[1]Wages Sheet'!$B$8:$AD$192,28,FALSE)</f>
        <v>0.66666666666651508</v>
      </c>
      <c r="R172" s="11">
        <f>VLOOKUP(B172,'[1]Wages Sheet'!$B$8:$AD$192,29,FALSE)</f>
        <v>0</v>
      </c>
      <c r="S172" s="11">
        <f>VLOOKUP(B172,'[1]Wages Sheet'!$B$8:$AF$192,31,FALSE)</f>
        <v>0.66666666666651508</v>
      </c>
    </row>
    <row r="173" spans="1:19" x14ac:dyDescent="0.3">
      <c r="A173" s="8" t="s">
        <v>13</v>
      </c>
      <c r="B173" s="9" t="s">
        <v>285</v>
      </c>
      <c r="C173" s="9" t="s">
        <v>54</v>
      </c>
      <c r="D173" s="9" t="s">
        <v>88</v>
      </c>
      <c r="E173" s="9"/>
      <c r="F173" s="10">
        <v>30</v>
      </c>
      <c r="G173" s="10">
        <v>0</v>
      </c>
      <c r="H173" s="10">
        <v>30</v>
      </c>
      <c r="I173" s="10">
        <f>VLOOKUP(B173,'[1]Wages Sheet'!$B$8:$J$192,9,FALSE)</f>
        <v>0</v>
      </c>
      <c r="J173" s="10">
        <f>SUM(VLOOKUP(B173,'[1]Wages Sheet'!$B$8:$K$192,10,FALSE)+(VLOOKUP(B173,'[1]Wages Sheet'!$B$8:$L$192,11,FALSE)))</f>
        <v>0</v>
      </c>
      <c r="K173" s="10">
        <f>VLOOKUP(B173,'[1]Wages Sheet'!$B$8:$O$192,14,FALSE)</f>
        <v>0</v>
      </c>
      <c r="L173" s="10">
        <f>VLOOKUP(B173,'[1]Wages Sheet'!$B$8:$Q$192,16,FALSE)</f>
        <v>0</v>
      </c>
      <c r="M173" s="11">
        <f>VLOOKUP(B173,'[1]Wages Sheet'!$B$8:$T$193,19,FALSE)</f>
        <v>11000</v>
      </c>
      <c r="N173" s="11">
        <f>VLOOKUP(B173,'[1]Wages Sheet'!$B$8:$U$192,20,FALSE)</f>
        <v>0</v>
      </c>
      <c r="O173" s="11">
        <f>VLOOKUP(B173,'[1]Wages Sheet'!$B$8:$W$192,22,FALSE)</f>
        <v>3.2258064517009188E-2</v>
      </c>
      <c r="P173" s="11">
        <f>VLOOKUP(B173,'[1]Wages Sheet'!$B$8:$Z$192,25,FALSE)</f>
        <v>0</v>
      </c>
      <c r="Q173" s="11">
        <f>VLOOKUP(B173,'[1]Wages Sheet'!$B$8:$AD$192,28,FALSE)</f>
        <v>-3.2258064517009188E-2</v>
      </c>
      <c r="R173" s="11">
        <f>VLOOKUP(B173,'[1]Wages Sheet'!$B$8:$AD$192,29,FALSE)</f>
        <v>0</v>
      </c>
      <c r="S173" s="11">
        <f>VLOOKUP(B173,'[1]Wages Sheet'!$B$8:$AF$192,31,FALSE)</f>
        <v>-3.2258064517009188E-2</v>
      </c>
    </row>
    <row r="174" spans="1:19" x14ac:dyDescent="0.3">
      <c r="A174" s="8" t="s">
        <v>13</v>
      </c>
      <c r="B174" s="9" t="s">
        <v>286</v>
      </c>
      <c r="C174" s="9" t="s">
        <v>54</v>
      </c>
      <c r="D174" s="9" t="s">
        <v>113</v>
      </c>
      <c r="E174" s="9" t="s">
        <v>56</v>
      </c>
      <c r="F174" s="10">
        <v>30</v>
      </c>
      <c r="G174" s="10">
        <v>20</v>
      </c>
      <c r="H174" s="10">
        <v>10</v>
      </c>
      <c r="I174" s="10">
        <f>VLOOKUP(B174,'[1]Wages Sheet'!$B$8:$J$192,9,FALSE)</f>
        <v>0</v>
      </c>
      <c r="J174" s="10">
        <f>SUM(VLOOKUP(B174,'[1]Wages Sheet'!$B$8:$K$192,10,FALSE)+(VLOOKUP(B174,'[1]Wages Sheet'!$B$8:$L$192,11,FALSE)))</f>
        <v>3</v>
      </c>
      <c r="K174" s="10">
        <f>VLOOKUP(B174,'[1]Wages Sheet'!$B$8:$O$192,14,FALSE)</f>
        <v>3</v>
      </c>
      <c r="L174" s="10">
        <f>VLOOKUP(B174,'[1]Wages Sheet'!$B$8:$Q$192,16,FALSE)</f>
        <v>0</v>
      </c>
      <c r="M174" s="11">
        <f>VLOOKUP(B174,'[1]Wages Sheet'!$B$8:$T$193,19,FALSE)</f>
        <v>8500</v>
      </c>
      <c r="N174" s="11">
        <f>VLOOKUP(B174,'[1]Wages Sheet'!$B$8:$U$192,20,FALSE)</f>
        <v>6516.6666666666661</v>
      </c>
      <c r="O174" s="11">
        <f>VLOOKUP(B174,'[1]Wages Sheet'!$B$8:$W$192,22,FALSE)</f>
        <v>0</v>
      </c>
      <c r="P174" s="11">
        <f>VLOOKUP(B174,'[1]Wages Sheet'!$B$8:$Z$192,25,FALSE)</f>
        <v>677.0322580645161</v>
      </c>
      <c r="Q174" s="11">
        <f>VLOOKUP(B174,'[1]Wages Sheet'!$B$8:$AD$192,28,FALSE)</f>
        <v>7193.6989247311822</v>
      </c>
      <c r="R174" s="11">
        <f>VLOOKUP(B174,'[1]Wages Sheet'!$B$8:$AD$192,29,FALSE)</f>
        <v>7200</v>
      </c>
      <c r="S174" s="11">
        <f>VLOOKUP(B174,'[1]Wages Sheet'!$B$8:$AF$192,31,FALSE)</f>
        <v>-6.30107526881784</v>
      </c>
    </row>
    <row r="175" spans="1:19" x14ac:dyDescent="0.3">
      <c r="A175" s="8" t="s">
        <v>13</v>
      </c>
      <c r="B175" s="9" t="s">
        <v>287</v>
      </c>
      <c r="C175" s="9" t="s">
        <v>54</v>
      </c>
      <c r="D175" s="9" t="s">
        <v>55</v>
      </c>
      <c r="E175" s="9"/>
      <c r="F175" s="10">
        <v>30</v>
      </c>
      <c r="G175" s="10">
        <v>0</v>
      </c>
      <c r="H175" s="10">
        <v>30</v>
      </c>
      <c r="I175" s="10">
        <f>VLOOKUP(B175,'[1]Wages Sheet'!$B$8:$J$192,9,FALSE)</f>
        <v>0</v>
      </c>
      <c r="J175" s="10">
        <f>SUM(VLOOKUP(B175,'[1]Wages Sheet'!$B$8:$K$192,10,FALSE)+(VLOOKUP(B175,'[1]Wages Sheet'!$B$8:$L$192,11,FALSE)))</f>
        <v>0</v>
      </c>
      <c r="K175" s="10">
        <f>VLOOKUP(B175,'[1]Wages Sheet'!$B$8:$O$192,14,FALSE)</f>
        <v>0</v>
      </c>
      <c r="L175" s="10">
        <f>VLOOKUP(B175,'[1]Wages Sheet'!$B$8:$Q$192,16,FALSE)</f>
        <v>0</v>
      </c>
      <c r="M175" s="11">
        <f>VLOOKUP(B175,'[1]Wages Sheet'!$B$8:$T$193,19,FALSE)</f>
        <v>12000</v>
      </c>
      <c r="N175" s="11">
        <f>VLOOKUP(B175,'[1]Wages Sheet'!$B$8:$U$192,20,FALSE)</f>
        <v>0</v>
      </c>
      <c r="O175" s="11">
        <f>VLOOKUP(B175,'[1]Wages Sheet'!$B$8:$W$192,22,FALSE)</f>
        <v>0</v>
      </c>
      <c r="P175" s="11">
        <f>VLOOKUP(B175,'[1]Wages Sheet'!$B$8:$Z$192,25,FALSE)</f>
        <v>9.6774193549208576E-2</v>
      </c>
      <c r="Q175" s="11">
        <f>VLOOKUP(B175,'[1]Wages Sheet'!$B$8:$AD$192,28,FALSE)</f>
        <v>9.6774193549208576E-2</v>
      </c>
      <c r="R175" s="11">
        <f>VLOOKUP(B175,'[1]Wages Sheet'!$B$8:$AD$192,29,FALSE)</f>
        <v>0</v>
      </c>
      <c r="S175" s="11">
        <f>VLOOKUP(B175,'[1]Wages Sheet'!$B$8:$AF$192,31,FALSE)</f>
        <v>9.6774193549208576E-2</v>
      </c>
    </row>
    <row r="176" spans="1:19" x14ac:dyDescent="0.3">
      <c r="A176" s="8" t="s">
        <v>13</v>
      </c>
      <c r="B176" s="9" t="s">
        <v>288</v>
      </c>
      <c r="C176" s="9" t="s">
        <v>54</v>
      </c>
      <c r="D176" s="9" t="s">
        <v>289</v>
      </c>
      <c r="E176" s="9" t="s">
        <v>92</v>
      </c>
      <c r="F176" s="10">
        <v>30</v>
      </c>
      <c r="G176" s="10">
        <v>17</v>
      </c>
      <c r="H176" s="10">
        <v>13</v>
      </c>
      <c r="I176" s="10">
        <f>VLOOKUP(B176,'[1]Wages Sheet'!$B$8:$J$192,9,FALSE)</f>
        <v>8</v>
      </c>
      <c r="J176" s="10">
        <f>SUM(VLOOKUP(B176,'[1]Wages Sheet'!$B$8:$K$192,10,FALSE)+(VLOOKUP(B176,'[1]Wages Sheet'!$B$8:$L$192,11,FALSE)))</f>
        <v>2</v>
      </c>
      <c r="K176" s="10">
        <f>VLOOKUP(B176,'[1]Wages Sheet'!$B$8:$O$192,14,FALSE)</f>
        <v>0</v>
      </c>
      <c r="L176" s="10">
        <f>VLOOKUP(B176,'[1]Wages Sheet'!$B$8:$Q$192,16,FALSE)</f>
        <v>0</v>
      </c>
      <c r="M176" s="11">
        <f>VLOOKUP(B176,'[1]Wages Sheet'!$B$8:$T$193,19,FALSE)</f>
        <v>8500</v>
      </c>
      <c r="N176" s="11">
        <f>VLOOKUP(B176,'[1]Wages Sheet'!$B$8:$U$192,20,FALSE)</f>
        <v>7649.9999999999991</v>
      </c>
      <c r="O176" s="11">
        <f>VLOOKUP(B176,'[1]Wages Sheet'!$B$8:$W$192,22,FALSE)</f>
        <v>0</v>
      </c>
      <c r="P176" s="11">
        <f>VLOOKUP(B176,'[1]Wages Sheet'!$B$8:$Z$192,25,FALSE)</f>
        <v>6499.6666666666642</v>
      </c>
      <c r="Q176" s="11">
        <f>VLOOKUP(B176,'[1]Wages Sheet'!$B$8:$AD$192,28,FALSE)</f>
        <v>14149.666666666664</v>
      </c>
      <c r="R176" s="11">
        <f>VLOOKUP(B176,'[1]Wages Sheet'!$B$8:$AD$192,29,FALSE)</f>
        <v>15000</v>
      </c>
      <c r="S176" s="11">
        <f>VLOOKUP(B176,'[1]Wages Sheet'!$B$8:$AF$192,31,FALSE)</f>
        <v>-850.33333333333576</v>
      </c>
    </row>
    <row r="177" spans="1:19" x14ac:dyDescent="0.3">
      <c r="A177" s="8" t="s">
        <v>13</v>
      </c>
      <c r="B177" s="9" t="s">
        <v>290</v>
      </c>
      <c r="C177" s="9" t="s">
        <v>54</v>
      </c>
      <c r="D177" s="9" t="s">
        <v>289</v>
      </c>
      <c r="E177" s="9" t="s">
        <v>56</v>
      </c>
      <c r="F177" s="10">
        <v>30</v>
      </c>
      <c r="G177" s="10">
        <v>26</v>
      </c>
      <c r="H177" s="10">
        <v>4</v>
      </c>
      <c r="I177" s="10">
        <f>VLOOKUP(B177,'[1]Wages Sheet'!$B$8:$J$192,9,FALSE)</f>
        <v>0</v>
      </c>
      <c r="J177" s="10">
        <f>SUM(VLOOKUP(B177,'[1]Wages Sheet'!$B$8:$K$192,10,FALSE)+(VLOOKUP(B177,'[1]Wages Sheet'!$B$8:$L$192,11,FALSE)))</f>
        <v>4</v>
      </c>
      <c r="K177" s="10">
        <f>VLOOKUP(B177,'[1]Wages Sheet'!$B$8:$O$192,14,FALSE)</f>
        <v>4</v>
      </c>
      <c r="L177" s="10">
        <f>VLOOKUP(B177,'[1]Wages Sheet'!$B$8:$Q$192,16,FALSE)</f>
        <v>0</v>
      </c>
      <c r="M177" s="11">
        <f>VLOOKUP(B177,'[1]Wages Sheet'!$B$8:$T$193,19,FALSE)</f>
        <v>9000</v>
      </c>
      <c r="N177" s="11">
        <f>VLOOKUP(B177,'[1]Wages Sheet'!$B$8:$U$192,20,FALSE)</f>
        <v>9000</v>
      </c>
      <c r="O177" s="11">
        <f>VLOOKUP(B177,'[1]Wages Sheet'!$B$8:$W$192,22,FALSE)</f>
        <v>0</v>
      </c>
      <c r="P177" s="11">
        <f>VLOOKUP(B177,'[1]Wages Sheet'!$B$8:$Z$192,25,FALSE)</f>
        <v>6676.4516129032245</v>
      </c>
      <c r="Q177" s="11">
        <f>VLOOKUP(B177,'[1]Wages Sheet'!$B$8:$AD$192,28,FALSE)</f>
        <v>15676.451612903224</v>
      </c>
      <c r="R177" s="11">
        <f>VLOOKUP(B177,'[1]Wages Sheet'!$B$8:$AD$192,29,FALSE)</f>
        <v>15676</v>
      </c>
      <c r="S177" s="11">
        <f>VLOOKUP(B177,'[1]Wages Sheet'!$B$8:$AF$192,31,FALSE)</f>
        <v>0.45161290322357672</v>
      </c>
    </row>
    <row r="178" spans="1:19" x14ac:dyDescent="0.3">
      <c r="A178" s="8" t="s">
        <v>13</v>
      </c>
      <c r="B178" s="9" t="s">
        <v>291</v>
      </c>
      <c r="C178" s="9" t="s">
        <v>54</v>
      </c>
      <c r="D178" s="9" t="s">
        <v>55</v>
      </c>
      <c r="E178" s="9" t="s">
        <v>119</v>
      </c>
      <c r="F178" s="10">
        <v>30</v>
      </c>
      <c r="G178" s="10">
        <v>5</v>
      </c>
      <c r="H178" s="10">
        <v>25</v>
      </c>
      <c r="I178" s="10">
        <f>VLOOKUP(B178,'[1]Wages Sheet'!$B$8:$J$192,9,FALSE)</f>
        <v>0</v>
      </c>
      <c r="J178" s="10">
        <f>SUM(VLOOKUP(B178,'[1]Wages Sheet'!$B$8:$K$192,10,FALSE)+(VLOOKUP(B178,'[1]Wages Sheet'!$B$8:$L$192,11,FALSE)))</f>
        <v>0</v>
      </c>
      <c r="K178" s="10">
        <f>VLOOKUP(B178,'[1]Wages Sheet'!$B$8:$O$192,14,FALSE)</f>
        <v>0</v>
      </c>
      <c r="L178" s="10">
        <f>VLOOKUP(B178,'[1]Wages Sheet'!$B$8:$Q$192,16,FALSE)</f>
        <v>0</v>
      </c>
      <c r="M178" s="11">
        <f>VLOOKUP(B178,'[1]Wages Sheet'!$B$8:$T$193,19,FALSE)</f>
        <v>8500</v>
      </c>
      <c r="N178" s="11">
        <f>VLOOKUP(B178,'[1]Wages Sheet'!$B$8:$U$192,20,FALSE)</f>
        <v>1416.6666666666665</v>
      </c>
      <c r="O178" s="11">
        <f>VLOOKUP(B178,'[1]Wages Sheet'!$B$8:$W$192,22,FALSE)</f>
        <v>0</v>
      </c>
      <c r="P178" s="11">
        <f>VLOOKUP(B178,'[1]Wages Sheet'!$B$8:$Z$192,25,FALSE)</f>
        <v>4926.0967741935483</v>
      </c>
      <c r="Q178" s="11">
        <f>VLOOKUP(B178,'[1]Wages Sheet'!$B$8:$AD$192,28,FALSE)</f>
        <v>6342.7634408602153</v>
      </c>
      <c r="R178" s="11">
        <f>VLOOKUP(B178,'[1]Wages Sheet'!$B$8:$AD$192,29,FALSE)</f>
        <v>6350</v>
      </c>
      <c r="S178" s="11">
        <f>VLOOKUP(B178,'[1]Wages Sheet'!$B$8:$AF$192,31,FALSE)</f>
        <v>-7.2365591397847311</v>
      </c>
    </row>
    <row r="179" spans="1:19" x14ac:dyDescent="0.3">
      <c r="A179" s="8" t="s">
        <v>13</v>
      </c>
      <c r="B179" s="9" t="s">
        <v>292</v>
      </c>
      <c r="C179" s="9" t="s">
        <v>54</v>
      </c>
      <c r="D179" s="9" t="s">
        <v>100</v>
      </c>
      <c r="E179" s="9" t="s">
        <v>56</v>
      </c>
      <c r="F179" s="10">
        <v>30</v>
      </c>
      <c r="G179" s="10">
        <v>30</v>
      </c>
      <c r="H179" s="10">
        <v>0</v>
      </c>
      <c r="I179" s="10">
        <f>VLOOKUP(B179,'[1]Wages Sheet'!$B$8:$J$192,9,FALSE)</f>
        <v>0</v>
      </c>
      <c r="J179" s="10">
        <f>SUM(VLOOKUP(B179,'[1]Wages Sheet'!$B$8:$K$192,10,FALSE)+(VLOOKUP(B179,'[1]Wages Sheet'!$B$8:$L$192,11,FALSE)))</f>
        <v>0</v>
      </c>
      <c r="K179" s="10">
        <f>VLOOKUP(B179,'[1]Wages Sheet'!$B$8:$O$192,14,FALSE)</f>
        <v>0</v>
      </c>
      <c r="L179" s="10">
        <f>VLOOKUP(B179,'[1]Wages Sheet'!$B$8:$Q$192,16,FALSE)</f>
        <v>0</v>
      </c>
      <c r="M179" s="11">
        <f>VLOOKUP(B179,'[1]Wages Sheet'!$B$8:$T$193,19,FALSE)</f>
        <v>9000</v>
      </c>
      <c r="N179" s="11">
        <f>VLOOKUP(B179,'[1]Wages Sheet'!$B$8:$U$192,20,FALSE)</f>
        <v>9000</v>
      </c>
      <c r="O179" s="11">
        <f>VLOOKUP(B179,'[1]Wages Sheet'!$B$8:$W$192,22,FALSE)</f>
        <v>0</v>
      </c>
      <c r="P179" s="11">
        <f>VLOOKUP(B179,'[1]Wages Sheet'!$B$8:$Z$192,25,FALSE)</f>
        <v>5258.9216589861753</v>
      </c>
      <c r="Q179" s="11">
        <f>VLOOKUP(B179,'[1]Wages Sheet'!$B$8:$AD$192,28,FALSE)</f>
        <v>14258.921658986175</v>
      </c>
      <c r="R179" s="11">
        <f>VLOOKUP(B179,'[1]Wages Sheet'!$B$8:$AD$192,29,FALSE)</f>
        <v>15260</v>
      </c>
      <c r="S179" s="11">
        <f>VLOOKUP(B179,'[1]Wages Sheet'!$B$8:$AF$192,31,FALSE)</f>
        <v>-1001.0783410138247</v>
      </c>
    </row>
    <row r="180" spans="1:19" x14ac:dyDescent="0.3">
      <c r="A180" s="8" t="s">
        <v>13</v>
      </c>
      <c r="B180" s="9" t="s">
        <v>293</v>
      </c>
      <c r="C180" s="9" t="s">
        <v>54</v>
      </c>
      <c r="D180" s="9" t="s">
        <v>289</v>
      </c>
      <c r="E180" s="9"/>
      <c r="F180" s="10">
        <v>30</v>
      </c>
      <c r="G180" s="10">
        <v>0</v>
      </c>
      <c r="H180" s="10">
        <v>30</v>
      </c>
      <c r="I180" s="10">
        <f>VLOOKUP(B180,'[1]Wages Sheet'!$B$8:$J$192,9,FALSE)</f>
        <v>0</v>
      </c>
      <c r="J180" s="10">
        <f>SUM(VLOOKUP(B180,'[1]Wages Sheet'!$B$8:$K$192,10,FALSE)+(VLOOKUP(B180,'[1]Wages Sheet'!$B$8:$L$192,11,FALSE)))</f>
        <v>0</v>
      </c>
      <c r="K180" s="10">
        <f>VLOOKUP(B180,'[1]Wages Sheet'!$B$8:$O$192,14,FALSE)</f>
        <v>0</v>
      </c>
      <c r="L180" s="10">
        <f>VLOOKUP(B180,'[1]Wages Sheet'!$B$8:$Q$192,16,FALSE)</f>
        <v>0</v>
      </c>
      <c r="M180" s="11">
        <f>VLOOKUP(B180,'[1]Wages Sheet'!$B$8:$T$193,19,FALSE)</f>
        <v>8500</v>
      </c>
      <c r="N180" s="11">
        <f>VLOOKUP(B180,'[1]Wages Sheet'!$B$8:$U$192,20,FALSE)</f>
        <v>0</v>
      </c>
      <c r="O180" s="11">
        <f>VLOOKUP(B180,'[1]Wages Sheet'!$B$8:$W$192,22,FALSE)</f>
        <v>0</v>
      </c>
      <c r="P180" s="11">
        <f>VLOOKUP(B180,'[1]Wages Sheet'!$B$8:$Z$192,25,FALSE)</f>
        <v>3946.4285714285711</v>
      </c>
      <c r="Q180" s="11">
        <f>VLOOKUP(B180,'[1]Wages Sheet'!$B$8:$AD$192,28,FALSE)</f>
        <v>3946.4285714285711</v>
      </c>
      <c r="R180" s="11">
        <f>VLOOKUP(B180,'[1]Wages Sheet'!$B$8:$AD$192,29,FALSE)</f>
        <v>0</v>
      </c>
      <c r="S180" s="11">
        <f>VLOOKUP(B180,'[1]Wages Sheet'!$B$8:$AF$192,31,FALSE)</f>
        <v>3946.4285714285711</v>
      </c>
    </row>
    <row r="181" spans="1:19" x14ac:dyDescent="0.3">
      <c r="A181" s="8" t="s">
        <v>13</v>
      </c>
      <c r="B181" s="9" t="s">
        <v>294</v>
      </c>
      <c r="C181" s="9" t="s">
        <v>54</v>
      </c>
      <c r="D181" s="9" t="s">
        <v>273</v>
      </c>
      <c r="E181" s="9" t="s">
        <v>56</v>
      </c>
      <c r="F181" s="10">
        <v>30</v>
      </c>
      <c r="G181" s="10">
        <v>27</v>
      </c>
      <c r="H181" s="10">
        <v>3</v>
      </c>
      <c r="I181" s="10">
        <f>VLOOKUP(B181,'[1]Wages Sheet'!$B$8:$J$192,9,FALSE)</f>
        <v>0</v>
      </c>
      <c r="J181" s="10">
        <f>SUM(VLOOKUP(B181,'[1]Wages Sheet'!$B$8:$K$192,10,FALSE)+(VLOOKUP(B181,'[1]Wages Sheet'!$B$8:$L$192,11,FALSE)))</f>
        <v>4</v>
      </c>
      <c r="K181" s="10">
        <f>VLOOKUP(B181,'[1]Wages Sheet'!$B$8:$O$192,14,FALSE)</f>
        <v>3</v>
      </c>
      <c r="L181" s="10">
        <f>VLOOKUP(B181,'[1]Wages Sheet'!$B$8:$Q$192,16,FALSE)</f>
        <v>1</v>
      </c>
      <c r="M181" s="11">
        <f>VLOOKUP(B181,'[1]Wages Sheet'!$B$8:$T$193,19,FALSE)</f>
        <v>16000</v>
      </c>
      <c r="N181" s="11">
        <f>VLOOKUP(B181,'[1]Wages Sheet'!$B$8:$U$192,20,FALSE)</f>
        <v>16000.000000000002</v>
      </c>
      <c r="O181" s="11">
        <f>VLOOKUP(B181,'[1]Wages Sheet'!$B$8:$W$192,22,FALSE)</f>
        <v>0</v>
      </c>
      <c r="P181" s="11">
        <f>VLOOKUP(B181,'[1]Wages Sheet'!$B$8:$Z$192,25,FALSE)</f>
        <v>13951.612903225807</v>
      </c>
      <c r="Q181" s="11">
        <f>VLOOKUP(B181,'[1]Wages Sheet'!$B$8:$AD$192,28,FALSE)</f>
        <v>29951.61290322581</v>
      </c>
      <c r="R181" s="11">
        <f>VLOOKUP(B181,'[1]Wages Sheet'!$B$8:$AD$192,29,FALSE)</f>
        <v>29952</v>
      </c>
      <c r="S181" s="11">
        <f>VLOOKUP(B181,'[1]Wages Sheet'!$B$8:$AF$192,31,FALSE)</f>
        <v>-0.38709677418955835</v>
      </c>
    </row>
    <row r="182" spans="1:19" x14ac:dyDescent="0.3">
      <c r="A182" s="8" t="s">
        <v>13</v>
      </c>
      <c r="B182" s="9" t="s">
        <v>295</v>
      </c>
      <c r="C182" s="9" t="s">
        <v>54</v>
      </c>
      <c r="D182" s="9" t="s">
        <v>132</v>
      </c>
      <c r="E182" s="9" t="s">
        <v>56</v>
      </c>
      <c r="F182" s="10">
        <v>30</v>
      </c>
      <c r="G182" s="10">
        <v>29</v>
      </c>
      <c r="H182" s="10">
        <v>1</v>
      </c>
      <c r="I182" s="10">
        <f>VLOOKUP(B182,'[1]Wages Sheet'!$B$8:$J$192,9,FALSE)</f>
        <v>0</v>
      </c>
      <c r="J182" s="10">
        <f>SUM(VLOOKUP(B182,'[1]Wages Sheet'!$B$8:$K$192,10,FALSE)+(VLOOKUP(B182,'[1]Wages Sheet'!$B$8:$L$192,11,FALSE)))</f>
        <v>4</v>
      </c>
      <c r="K182" s="10">
        <f>VLOOKUP(B182,'[1]Wages Sheet'!$B$8:$O$192,14,FALSE)</f>
        <v>1</v>
      </c>
      <c r="L182" s="10">
        <f>VLOOKUP(B182,'[1]Wages Sheet'!$B$8:$Q$192,16,FALSE)</f>
        <v>3</v>
      </c>
      <c r="M182" s="11">
        <f>VLOOKUP(B182,'[1]Wages Sheet'!$B$8:$T$193,19,FALSE)</f>
        <v>10000</v>
      </c>
      <c r="N182" s="11">
        <f>VLOOKUP(B182,'[1]Wages Sheet'!$B$8:$U$192,20,FALSE)</f>
        <v>10000</v>
      </c>
      <c r="O182" s="11">
        <f>VLOOKUP(B182,'[1]Wages Sheet'!$B$8:$W$192,22,FALSE)</f>
        <v>0</v>
      </c>
      <c r="P182" s="11">
        <f>VLOOKUP(B182,'[1]Wages Sheet'!$B$8:$Z$192,25,FALSE)</f>
        <v>3064.5161290322576</v>
      </c>
      <c r="Q182" s="11">
        <f>VLOOKUP(B182,'[1]Wages Sheet'!$B$8:$AD$192,28,FALSE)</f>
        <v>13064.516129032258</v>
      </c>
      <c r="R182" s="11">
        <f>VLOOKUP(B182,'[1]Wages Sheet'!$B$8:$AD$192,29,FALSE)</f>
        <v>13050</v>
      </c>
      <c r="S182" s="11">
        <f>VLOOKUP(B182,'[1]Wages Sheet'!$B$8:$AF$192,31,FALSE)</f>
        <v>14.516129032257595</v>
      </c>
    </row>
    <row r="183" spans="1:19" x14ac:dyDescent="0.3">
      <c r="A183" s="8" t="s">
        <v>13</v>
      </c>
      <c r="B183" s="9" t="s">
        <v>296</v>
      </c>
      <c r="C183" s="9" t="s">
        <v>54</v>
      </c>
      <c r="D183" s="9" t="s">
        <v>289</v>
      </c>
      <c r="E183" s="9" t="s">
        <v>92</v>
      </c>
      <c r="F183" s="10">
        <v>30</v>
      </c>
      <c r="G183" s="10">
        <v>26</v>
      </c>
      <c r="H183" s="10">
        <v>4</v>
      </c>
      <c r="I183" s="10">
        <f>VLOOKUP(B183,'[1]Wages Sheet'!$B$8:$J$192,9,FALSE)</f>
        <v>0</v>
      </c>
      <c r="J183" s="10">
        <f>SUM(VLOOKUP(B183,'[1]Wages Sheet'!$B$8:$K$192,10,FALSE)+(VLOOKUP(B183,'[1]Wages Sheet'!$B$8:$L$192,11,FALSE)))</f>
        <v>4</v>
      </c>
      <c r="K183" s="10">
        <f>VLOOKUP(B183,'[1]Wages Sheet'!$B$8:$O$192,14,FALSE)</f>
        <v>0</v>
      </c>
      <c r="L183" s="10">
        <f>VLOOKUP(B183,'[1]Wages Sheet'!$B$8:$Q$192,16,FALSE)</f>
        <v>0</v>
      </c>
      <c r="M183" s="11">
        <f>VLOOKUP(B183,'[1]Wages Sheet'!$B$8:$T$193,19,FALSE)</f>
        <v>9000</v>
      </c>
      <c r="N183" s="11">
        <f>VLOOKUP(B183,'[1]Wages Sheet'!$B$8:$U$192,20,FALSE)</f>
        <v>9000</v>
      </c>
      <c r="O183" s="11">
        <f>VLOOKUP(B183,'[1]Wages Sheet'!$B$8:$W$192,22,FALSE)</f>
        <v>0</v>
      </c>
      <c r="P183" s="11">
        <f>VLOOKUP(B183,'[1]Wages Sheet'!$B$8:$Z$192,25,FALSE)</f>
        <v>4645</v>
      </c>
      <c r="Q183" s="11">
        <f>VLOOKUP(B183,'[1]Wages Sheet'!$B$8:$AD$192,28,FALSE)</f>
        <v>13645</v>
      </c>
      <c r="R183" s="11">
        <f>VLOOKUP(B183,'[1]Wages Sheet'!$B$8:$AD$192,29,FALSE)</f>
        <v>13645</v>
      </c>
      <c r="S183" s="11">
        <f>VLOOKUP(B183,'[1]Wages Sheet'!$B$8:$AF$192,31,FALSE)</f>
        <v>0</v>
      </c>
    </row>
    <row r="184" spans="1:19" x14ac:dyDescent="0.3">
      <c r="A184" s="8" t="s">
        <v>13</v>
      </c>
      <c r="B184" s="9" t="s">
        <v>297</v>
      </c>
      <c r="C184" s="9" t="s">
        <v>54</v>
      </c>
      <c r="D184" s="9" t="s">
        <v>202</v>
      </c>
      <c r="E184" s="9" t="s">
        <v>298</v>
      </c>
      <c r="F184" s="10">
        <v>30</v>
      </c>
      <c r="G184" s="10">
        <v>30</v>
      </c>
      <c r="H184" s="10">
        <v>0</v>
      </c>
      <c r="I184" s="10">
        <f>VLOOKUP(B184,'[1]Wages Sheet'!$B$8:$J$192,9,FALSE)</f>
        <v>0</v>
      </c>
      <c r="J184" s="10">
        <f>SUM(VLOOKUP(B184,'[1]Wages Sheet'!$B$8:$K$192,10,FALSE)+(VLOOKUP(B184,'[1]Wages Sheet'!$B$8:$L$192,11,FALSE)))</f>
        <v>4</v>
      </c>
      <c r="K184" s="10">
        <f>VLOOKUP(B184,'[1]Wages Sheet'!$B$8:$O$192,14,FALSE)</f>
        <v>0</v>
      </c>
      <c r="L184" s="10">
        <f>VLOOKUP(B184,'[1]Wages Sheet'!$B$8:$Q$192,16,FALSE)</f>
        <v>4</v>
      </c>
      <c r="M184" s="11">
        <f>VLOOKUP(B184,'[1]Wages Sheet'!$B$8:$T$193,19,FALSE)</f>
        <v>15000</v>
      </c>
      <c r="N184" s="11">
        <f>VLOOKUP(B184,'[1]Wages Sheet'!$B$8:$U$192,20,FALSE)</f>
        <v>15000</v>
      </c>
      <c r="O184" s="11">
        <f>VLOOKUP(B184,'[1]Wages Sheet'!$B$8:$W$192,22,FALSE)</f>
        <v>0</v>
      </c>
      <c r="P184" s="11">
        <f>VLOOKUP(B184,'[1]Wages Sheet'!$B$8:$Z$192,25,FALSE)</f>
        <v>0</v>
      </c>
      <c r="Q184" s="11">
        <f>VLOOKUP(B184,'[1]Wages Sheet'!$B$8:$AD$192,28,FALSE)</f>
        <v>15000</v>
      </c>
      <c r="R184" s="11">
        <f>VLOOKUP(B184,'[1]Wages Sheet'!$B$8:$AD$192,29,FALSE)</f>
        <v>15000</v>
      </c>
      <c r="S184" s="11">
        <f>VLOOKUP(B184,'[1]Wages Sheet'!$B$8:$AF$192,31,FALSE)</f>
        <v>0</v>
      </c>
    </row>
    <row r="185" spans="1:19" x14ac:dyDescent="0.3">
      <c r="A185" s="8" t="s">
        <v>13</v>
      </c>
      <c r="B185" s="9" t="s">
        <v>299</v>
      </c>
      <c r="C185" s="9" t="s">
        <v>300</v>
      </c>
      <c r="D185" s="9" t="s">
        <v>55</v>
      </c>
      <c r="E185" s="9" t="s">
        <v>59</v>
      </c>
      <c r="F185" s="10">
        <v>30</v>
      </c>
      <c r="G185" s="10">
        <v>21</v>
      </c>
      <c r="H185" s="10">
        <v>9</v>
      </c>
      <c r="I185" s="10">
        <f>VLOOKUP(B185,'[1]Wages Sheet'!$B$8:$J$192,9,FALSE)</f>
        <v>0</v>
      </c>
      <c r="J185" s="10">
        <f>SUM(VLOOKUP(B185,'[1]Wages Sheet'!$B$8:$K$192,10,FALSE)+(VLOOKUP(B185,'[1]Wages Sheet'!$B$8:$L$192,11,FALSE)))</f>
        <v>3</v>
      </c>
      <c r="K185" s="10">
        <f>VLOOKUP(B185,'[1]Wages Sheet'!$B$8:$O$192,14,FALSE)</f>
        <v>0</v>
      </c>
      <c r="L185" s="10">
        <f>VLOOKUP(B185,'[1]Wages Sheet'!$B$8:$Q$192,16,FALSE)</f>
        <v>0</v>
      </c>
      <c r="M185" s="11">
        <f>VLOOKUP(B185,'[1]Wages Sheet'!$B$8:$T$193,19,FALSE)</f>
        <v>8000</v>
      </c>
      <c r="N185" s="11">
        <f>VLOOKUP(B185,'[1]Wages Sheet'!$B$8:$U$192,20,FALSE)</f>
        <v>6400</v>
      </c>
      <c r="O185" s="11">
        <f>VLOOKUP(B185,'[1]Wages Sheet'!$B$8:$W$192,22,FALSE)</f>
        <v>0</v>
      </c>
      <c r="P185" s="11">
        <f>VLOOKUP(B185,'[1]Wages Sheet'!$B$8:$Z$192,25,FALSE)</f>
        <v>0</v>
      </c>
      <c r="Q185" s="11">
        <f>VLOOKUP(B185,'[1]Wages Sheet'!$B$8:$AD$192,28,FALSE)</f>
        <v>6400</v>
      </c>
      <c r="R185" s="11">
        <f>VLOOKUP(B185,'[1]Wages Sheet'!$B$8:$AD$192,29,FALSE)</f>
        <v>1000</v>
      </c>
      <c r="S185" s="11">
        <f>VLOOKUP(B185,'[1]Wages Sheet'!$B$8:$AF$192,31,FALSE)</f>
        <v>5400</v>
      </c>
    </row>
    <row r="186" spans="1:19" x14ac:dyDescent="0.3">
      <c r="A186" s="8" t="s">
        <v>14</v>
      </c>
      <c r="B186" s="9" t="s">
        <v>3</v>
      </c>
      <c r="C186" s="9" t="s">
        <v>54</v>
      </c>
      <c r="D186" s="9" t="s">
        <v>301</v>
      </c>
      <c r="E186" s="9" t="s">
        <v>56</v>
      </c>
      <c r="F186" s="10">
        <v>31</v>
      </c>
      <c r="G186" s="10">
        <v>22.5</v>
      </c>
      <c r="H186" s="10">
        <v>8.5</v>
      </c>
      <c r="I186" s="10">
        <v>1</v>
      </c>
      <c r="J186" s="10">
        <v>4</v>
      </c>
      <c r="K186" s="10">
        <v>4</v>
      </c>
      <c r="L186" s="10">
        <v>0</v>
      </c>
      <c r="M186" s="11">
        <v>9000</v>
      </c>
      <c r="N186" s="11">
        <v>7693.55</v>
      </c>
      <c r="O186" s="11">
        <v>0.97</v>
      </c>
      <c r="P186" s="11">
        <v>0</v>
      </c>
      <c r="Q186" s="11">
        <v>7692.58</v>
      </c>
      <c r="R186" s="11">
        <v>0</v>
      </c>
      <c r="S186" s="11">
        <v>7692.58</v>
      </c>
    </row>
    <row r="187" spans="1:19" x14ac:dyDescent="0.3">
      <c r="A187" s="8" t="s">
        <v>14</v>
      </c>
      <c r="B187" s="9" t="s">
        <v>57</v>
      </c>
      <c r="C187" s="9" t="s">
        <v>54</v>
      </c>
      <c r="D187" s="9" t="s">
        <v>302</v>
      </c>
      <c r="E187" s="9" t="s">
        <v>59</v>
      </c>
      <c r="F187" s="10">
        <v>31</v>
      </c>
      <c r="G187" s="10">
        <v>7</v>
      </c>
      <c r="H187" s="10">
        <v>24</v>
      </c>
      <c r="I187" s="10">
        <v>0</v>
      </c>
      <c r="J187" s="10">
        <v>0</v>
      </c>
      <c r="K187" s="10">
        <v>0</v>
      </c>
      <c r="L187" s="10">
        <v>0</v>
      </c>
      <c r="M187" s="11">
        <v>9500</v>
      </c>
      <c r="N187" s="11">
        <v>2145.16</v>
      </c>
      <c r="O187" s="11">
        <v>83.33</v>
      </c>
      <c r="P187" s="11">
        <v>0</v>
      </c>
      <c r="Q187" s="11">
        <v>2061.83</v>
      </c>
      <c r="R187" s="11">
        <v>0</v>
      </c>
      <c r="S187" s="11">
        <v>2061.83</v>
      </c>
    </row>
    <row r="188" spans="1:19" x14ac:dyDescent="0.3">
      <c r="A188" s="8" t="s">
        <v>14</v>
      </c>
      <c r="B188" s="9" t="s">
        <v>60</v>
      </c>
      <c r="C188" s="9" t="s">
        <v>54</v>
      </c>
      <c r="D188" s="9" t="s">
        <v>302</v>
      </c>
      <c r="E188" s="9"/>
      <c r="F188" s="10">
        <v>31</v>
      </c>
      <c r="G188" s="10">
        <v>0</v>
      </c>
      <c r="H188" s="10">
        <v>31</v>
      </c>
      <c r="I188" s="10">
        <v>0</v>
      </c>
      <c r="J188" s="10">
        <v>0</v>
      </c>
      <c r="K188" s="10">
        <v>0</v>
      </c>
      <c r="L188" s="10">
        <v>0</v>
      </c>
      <c r="M188" s="11">
        <v>9500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</row>
    <row r="189" spans="1:19" x14ac:dyDescent="0.3">
      <c r="A189" s="8" t="s">
        <v>14</v>
      </c>
      <c r="B189" s="9" t="s">
        <v>61</v>
      </c>
      <c r="C189" s="9" t="s">
        <v>54</v>
      </c>
      <c r="D189" s="9" t="s">
        <v>303</v>
      </c>
      <c r="E189" s="9"/>
      <c r="F189" s="10">
        <v>31</v>
      </c>
      <c r="G189" s="10">
        <v>0</v>
      </c>
      <c r="H189" s="10">
        <v>31</v>
      </c>
      <c r="I189" s="10">
        <v>0</v>
      </c>
      <c r="J189" s="10">
        <v>0</v>
      </c>
      <c r="K189" s="10">
        <v>0</v>
      </c>
      <c r="L189" s="10">
        <v>0</v>
      </c>
      <c r="M189" s="11">
        <v>16000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</row>
    <row r="190" spans="1:19" x14ac:dyDescent="0.3">
      <c r="A190" s="8" t="s">
        <v>14</v>
      </c>
      <c r="B190" s="9" t="s">
        <v>63</v>
      </c>
      <c r="C190" s="9" t="s">
        <v>64</v>
      </c>
      <c r="D190" s="9" t="s">
        <v>303</v>
      </c>
      <c r="E190" s="9" t="s">
        <v>65</v>
      </c>
      <c r="F190" s="10">
        <v>31</v>
      </c>
      <c r="G190" s="10">
        <v>27</v>
      </c>
      <c r="H190" s="10">
        <v>4</v>
      </c>
      <c r="I190" s="10">
        <v>0</v>
      </c>
      <c r="J190" s="10">
        <v>4</v>
      </c>
      <c r="K190" s="10">
        <v>4</v>
      </c>
      <c r="L190" s="10">
        <v>0</v>
      </c>
      <c r="M190" s="11">
        <v>16000</v>
      </c>
      <c r="N190" s="11">
        <v>16000</v>
      </c>
      <c r="O190" s="11">
        <v>0</v>
      </c>
      <c r="P190" s="11">
        <v>0</v>
      </c>
      <c r="Q190" s="11">
        <v>16000.04</v>
      </c>
      <c r="R190" s="11">
        <v>0</v>
      </c>
      <c r="S190" s="11">
        <v>16000.04</v>
      </c>
    </row>
    <row r="191" spans="1:19" x14ac:dyDescent="0.3">
      <c r="A191" s="8" t="s">
        <v>14</v>
      </c>
      <c r="B191" s="9" t="s">
        <v>66</v>
      </c>
      <c r="C191" s="9" t="s">
        <v>54</v>
      </c>
      <c r="D191" s="9" t="s">
        <v>304</v>
      </c>
      <c r="E191" s="9" t="s">
        <v>56</v>
      </c>
      <c r="F191" s="10">
        <v>31</v>
      </c>
      <c r="G191" s="10">
        <v>25</v>
      </c>
      <c r="H191" s="10">
        <v>6</v>
      </c>
      <c r="I191" s="10">
        <v>2</v>
      </c>
      <c r="J191" s="10">
        <v>6</v>
      </c>
      <c r="K191" s="10">
        <v>6</v>
      </c>
      <c r="L191" s="10">
        <v>0</v>
      </c>
      <c r="M191" s="11">
        <v>17000</v>
      </c>
      <c r="N191" s="11">
        <v>17000</v>
      </c>
      <c r="O191" s="11">
        <v>0</v>
      </c>
      <c r="P191" s="11">
        <v>0</v>
      </c>
      <c r="Q191" s="11">
        <v>17000</v>
      </c>
      <c r="R191" s="11">
        <v>0</v>
      </c>
      <c r="S191" s="11">
        <v>17000</v>
      </c>
    </row>
    <row r="192" spans="1:19" x14ac:dyDescent="0.3">
      <c r="A192" s="8" t="s">
        <v>14</v>
      </c>
      <c r="B192" s="9" t="s">
        <v>68</v>
      </c>
      <c r="C192" s="9" t="s">
        <v>54</v>
      </c>
      <c r="D192" s="9" t="s">
        <v>305</v>
      </c>
      <c r="E192" s="9" t="s">
        <v>70</v>
      </c>
      <c r="F192" s="10">
        <v>31</v>
      </c>
      <c r="G192" s="10">
        <v>20</v>
      </c>
      <c r="H192" s="10">
        <v>11</v>
      </c>
      <c r="I192" s="10">
        <v>9</v>
      </c>
      <c r="J192" s="10">
        <v>12</v>
      </c>
      <c r="K192" s="10">
        <v>11</v>
      </c>
      <c r="L192" s="10">
        <v>1</v>
      </c>
      <c r="M192" s="11">
        <v>9500</v>
      </c>
      <c r="N192" s="11">
        <v>9500</v>
      </c>
      <c r="O192" s="11">
        <v>0</v>
      </c>
      <c r="P192" s="11">
        <v>0</v>
      </c>
      <c r="Q192" s="11">
        <v>9500.33</v>
      </c>
      <c r="R192" s="11">
        <v>0</v>
      </c>
      <c r="S192" s="11">
        <v>9500.33</v>
      </c>
    </row>
    <row r="193" spans="1:19" x14ac:dyDescent="0.3">
      <c r="A193" s="8" t="s">
        <v>14</v>
      </c>
      <c r="B193" s="9" t="s">
        <v>71</v>
      </c>
      <c r="C193" s="9" t="s">
        <v>54</v>
      </c>
      <c r="D193" s="9" t="s">
        <v>304</v>
      </c>
      <c r="E193" s="9" t="s">
        <v>56</v>
      </c>
      <c r="F193" s="10">
        <v>31</v>
      </c>
      <c r="G193" s="10">
        <v>30</v>
      </c>
      <c r="H193" s="10">
        <v>1</v>
      </c>
      <c r="I193" s="10">
        <v>0</v>
      </c>
      <c r="J193" s="10">
        <v>4</v>
      </c>
      <c r="K193" s="10">
        <v>1</v>
      </c>
      <c r="L193" s="10">
        <v>3</v>
      </c>
      <c r="M193" s="11">
        <v>18000</v>
      </c>
      <c r="N193" s="11">
        <v>18000</v>
      </c>
      <c r="O193" s="11">
        <v>0</v>
      </c>
      <c r="P193" s="11">
        <v>0</v>
      </c>
      <c r="Q193" s="11">
        <v>18000</v>
      </c>
      <c r="R193" s="11">
        <v>0</v>
      </c>
      <c r="S193" s="11">
        <v>18000</v>
      </c>
    </row>
    <row r="194" spans="1:19" x14ac:dyDescent="0.3">
      <c r="A194" s="8" t="s">
        <v>14</v>
      </c>
      <c r="B194" s="9" t="s">
        <v>72</v>
      </c>
      <c r="C194" s="9" t="s">
        <v>54</v>
      </c>
      <c r="D194" s="9" t="s">
        <v>302</v>
      </c>
      <c r="E194" s="9"/>
      <c r="F194" s="10">
        <v>31</v>
      </c>
      <c r="G194" s="10">
        <v>0</v>
      </c>
      <c r="H194" s="10">
        <v>31</v>
      </c>
      <c r="I194" s="10">
        <v>0</v>
      </c>
      <c r="J194" s="10">
        <v>0</v>
      </c>
      <c r="K194" s="10">
        <v>0</v>
      </c>
      <c r="L194" s="10">
        <v>0</v>
      </c>
      <c r="M194" s="11">
        <v>8500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</row>
    <row r="195" spans="1:19" x14ac:dyDescent="0.3">
      <c r="A195" s="8" t="s">
        <v>14</v>
      </c>
      <c r="B195" s="9" t="s">
        <v>73</v>
      </c>
      <c r="C195" s="9" t="s">
        <v>54</v>
      </c>
      <c r="D195" s="9" t="s">
        <v>302</v>
      </c>
      <c r="E195" s="9"/>
      <c r="F195" s="10">
        <v>31</v>
      </c>
      <c r="G195" s="10">
        <v>0</v>
      </c>
      <c r="H195" s="10">
        <v>31</v>
      </c>
      <c r="I195" s="10">
        <v>0</v>
      </c>
      <c r="J195" s="10">
        <v>0</v>
      </c>
      <c r="K195" s="10">
        <v>0</v>
      </c>
      <c r="L195" s="10">
        <v>0</v>
      </c>
      <c r="M195" s="11">
        <v>9500</v>
      </c>
      <c r="N195" s="11">
        <v>0</v>
      </c>
      <c r="O195" s="11">
        <v>0</v>
      </c>
      <c r="P195" s="11">
        <v>0</v>
      </c>
      <c r="Q195" s="11">
        <v>7528.82</v>
      </c>
      <c r="R195" s="11">
        <v>0</v>
      </c>
      <c r="S195" s="11">
        <v>7528.82</v>
      </c>
    </row>
    <row r="196" spans="1:19" x14ac:dyDescent="0.3">
      <c r="A196" s="8" t="s">
        <v>14</v>
      </c>
      <c r="B196" s="9" t="s">
        <v>74</v>
      </c>
      <c r="C196" s="9" t="s">
        <v>54</v>
      </c>
      <c r="D196" s="9" t="s">
        <v>301</v>
      </c>
      <c r="E196" s="9"/>
      <c r="F196" s="10">
        <v>31</v>
      </c>
      <c r="G196" s="10">
        <v>0</v>
      </c>
      <c r="H196" s="10">
        <v>31</v>
      </c>
      <c r="I196" s="10">
        <v>0</v>
      </c>
      <c r="J196" s="10">
        <v>0</v>
      </c>
      <c r="K196" s="10">
        <v>0</v>
      </c>
      <c r="L196" s="10">
        <v>0</v>
      </c>
      <c r="M196" s="11">
        <v>10000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</row>
    <row r="197" spans="1:19" x14ac:dyDescent="0.3">
      <c r="A197" s="8" t="s">
        <v>14</v>
      </c>
      <c r="B197" s="9" t="s">
        <v>75</v>
      </c>
      <c r="C197" s="9" t="s">
        <v>54</v>
      </c>
      <c r="D197" s="9" t="s">
        <v>302</v>
      </c>
      <c r="E197" s="9"/>
      <c r="F197" s="10">
        <v>31</v>
      </c>
      <c r="G197" s="10">
        <v>0</v>
      </c>
      <c r="H197" s="10">
        <v>31</v>
      </c>
      <c r="I197" s="10">
        <v>0</v>
      </c>
      <c r="J197" s="10">
        <v>0</v>
      </c>
      <c r="K197" s="10">
        <v>0</v>
      </c>
      <c r="L197" s="10">
        <v>0</v>
      </c>
      <c r="M197" s="11">
        <v>9500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</row>
    <row r="198" spans="1:19" x14ac:dyDescent="0.3">
      <c r="A198" s="8" t="s">
        <v>14</v>
      </c>
      <c r="B198" s="9" t="s">
        <v>76</v>
      </c>
      <c r="C198" s="9" t="s">
        <v>54</v>
      </c>
      <c r="D198" s="9" t="s">
        <v>303</v>
      </c>
      <c r="E198" s="9" t="s">
        <v>77</v>
      </c>
      <c r="F198" s="10">
        <v>31</v>
      </c>
      <c r="G198" s="10">
        <v>29</v>
      </c>
      <c r="H198" s="10">
        <v>2</v>
      </c>
      <c r="I198" s="10">
        <v>0</v>
      </c>
      <c r="J198" s="10">
        <v>4</v>
      </c>
      <c r="K198" s="10">
        <v>2</v>
      </c>
      <c r="L198" s="10">
        <v>2</v>
      </c>
      <c r="M198" s="11">
        <v>16000</v>
      </c>
      <c r="N198" s="11">
        <v>16000</v>
      </c>
      <c r="O198" s="11">
        <v>0</v>
      </c>
      <c r="P198" s="11">
        <v>0</v>
      </c>
      <c r="Q198" s="11">
        <v>16000.18</v>
      </c>
      <c r="R198" s="11">
        <v>0</v>
      </c>
      <c r="S198" s="11">
        <v>16000.18</v>
      </c>
    </row>
    <row r="199" spans="1:19" x14ac:dyDescent="0.3">
      <c r="A199" s="8" t="s">
        <v>14</v>
      </c>
      <c r="B199" s="9" t="s">
        <v>78</v>
      </c>
      <c r="C199" s="9" t="s">
        <v>64</v>
      </c>
      <c r="D199" s="9" t="s">
        <v>202</v>
      </c>
      <c r="E199" s="9" t="s">
        <v>80</v>
      </c>
      <c r="F199" s="10">
        <v>31</v>
      </c>
      <c r="G199" s="10">
        <v>27</v>
      </c>
      <c r="H199" s="10">
        <v>4</v>
      </c>
      <c r="I199" s="10">
        <v>3</v>
      </c>
      <c r="J199" s="10">
        <v>7</v>
      </c>
      <c r="K199" s="10">
        <v>4</v>
      </c>
      <c r="L199" s="10">
        <v>3</v>
      </c>
      <c r="M199" s="11">
        <v>17000</v>
      </c>
      <c r="N199" s="11">
        <v>17000</v>
      </c>
      <c r="O199" s="11">
        <v>499.55</v>
      </c>
      <c r="P199" s="11">
        <v>0</v>
      </c>
      <c r="Q199" s="11">
        <v>16500.45</v>
      </c>
      <c r="R199" s="11">
        <v>0</v>
      </c>
      <c r="S199" s="11">
        <v>16500.45</v>
      </c>
    </row>
    <row r="200" spans="1:19" x14ac:dyDescent="0.3">
      <c r="A200" s="8" t="s">
        <v>14</v>
      </c>
      <c r="B200" s="9" t="s">
        <v>81</v>
      </c>
      <c r="C200" s="9" t="s">
        <v>64</v>
      </c>
      <c r="D200" s="9" t="s">
        <v>82</v>
      </c>
      <c r="E200" s="9" t="s">
        <v>56</v>
      </c>
      <c r="F200" s="10">
        <v>31</v>
      </c>
      <c r="G200" s="10">
        <v>28</v>
      </c>
      <c r="H200" s="10">
        <v>3</v>
      </c>
      <c r="I200" s="10">
        <v>11</v>
      </c>
      <c r="J200" s="10">
        <v>15</v>
      </c>
      <c r="K200" s="10">
        <v>3</v>
      </c>
      <c r="L200" s="10">
        <v>12</v>
      </c>
      <c r="M200" s="11">
        <v>21000</v>
      </c>
      <c r="N200" s="11">
        <v>21000</v>
      </c>
      <c r="O200" s="11">
        <v>0</v>
      </c>
      <c r="P200" s="11">
        <v>0</v>
      </c>
      <c r="Q200" s="11">
        <v>21000</v>
      </c>
      <c r="R200" s="11">
        <v>0</v>
      </c>
      <c r="S200" s="11">
        <v>21000</v>
      </c>
    </row>
    <row r="201" spans="1:19" x14ac:dyDescent="0.3">
      <c r="A201" s="8" t="s">
        <v>14</v>
      </c>
      <c r="B201" s="9" t="s">
        <v>83</v>
      </c>
      <c r="C201" s="9" t="s">
        <v>64</v>
      </c>
      <c r="D201" s="9" t="s">
        <v>303</v>
      </c>
      <c r="E201" s="9" t="s">
        <v>84</v>
      </c>
      <c r="F201" s="10">
        <v>31</v>
      </c>
      <c r="G201" s="10">
        <v>30</v>
      </c>
      <c r="H201" s="10">
        <v>1</v>
      </c>
      <c r="I201" s="10">
        <v>5</v>
      </c>
      <c r="J201" s="10">
        <v>9</v>
      </c>
      <c r="K201" s="10">
        <v>1</v>
      </c>
      <c r="L201" s="10">
        <v>8</v>
      </c>
      <c r="M201" s="11">
        <v>16000</v>
      </c>
      <c r="N201" s="11">
        <v>16000</v>
      </c>
      <c r="O201" s="11">
        <v>0</v>
      </c>
      <c r="P201" s="11">
        <v>0</v>
      </c>
      <c r="Q201" s="11">
        <v>16000</v>
      </c>
      <c r="R201" s="11">
        <v>0</v>
      </c>
      <c r="S201" s="11">
        <v>16000</v>
      </c>
    </row>
    <row r="202" spans="1:19" x14ac:dyDescent="0.3">
      <c r="A202" s="8" t="s">
        <v>14</v>
      </c>
      <c r="B202" s="9" t="s">
        <v>85</v>
      </c>
      <c r="C202" s="9" t="s">
        <v>54</v>
      </c>
      <c r="D202" s="9" t="s">
        <v>301</v>
      </c>
      <c r="E202" s="9"/>
      <c r="F202" s="10">
        <v>31</v>
      </c>
      <c r="G202" s="10">
        <v>0</v>
      </c>
      <c r="H202" s="10">
        <v>31</v>
      </c>
      <c r="I202" s="10">
        <v>0</v>
      </c>
      <c r="J202" s="10">
        <v>0</v>
      </c>
      <c r="K202" s="10">
        <v>0</v>
      </c>
      <c r="L202" s="10">
        <v>0</v>
      </c>
      <c r="M202" s="11">
        <v>9000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</row>
    <row r="203" spans="1:19" x14ac:dyDescent="0.3">
      <c r="A203" s="8" t="s">
        <v>14</v>
      </c>
      <c r="B203" s="9" t="s">
        <v>86</v>
      </c>
      <c r="C203" s="9" t="s">
        <v>54</v>
      </c>
      <c r="D203" s="9" t="s">
        <v>302</v>
      </c>
      <c r="E203" s="9"/>
      <c r="F203" s="10">
        <v>31</v>
      </c>
      <c r="G203" s="10">
        <v>0</v>
      </c>
      <c r="H203" s="10">
        <v>31</v>
      </c>
      <c r="I203" s="10">
        <v>0</v>
      </c>
      <c r="J203" s="10">
        <v>0</v>
      </c>
      <c r="K203" s="10">
        <v>0</v>
      </c>
      <c r="L203" s="10">
        <v>0</v>
      </c>
      <c r="M203" s="11">
        <v>9500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</row>
    <row r="204" spans="1:19" x14ac:dyDescent="0.3">
      <c r="A204" s="8" t="s">
        <v>14</v>
      </c>
      <c r="B204" s="9" t="s">
        <v>87</v>
      </c>
      <c r="C204" s="9" t="s">
        <v>54</v>
      </c>
      <c r="D204" s="9" t="s">
        <v>306</v>
      </c>
      <c r="E204" s="9" t="s">
        <v>89</v>
      </c>
      <c r="F204" s="10">
        <v>31</v>
      </c>
      <c r="G204" s="10">
        <v>0</v>
      </c>
      <c r="H204" s="10">
        <v>31</v>
      </c>
      <c r="I204" s="10">
        <v>13</v>
      </c>
      <c r="J204" s="10">
        <v>13</v>
      </c>
      <c r="K204" s="10">
        <v>13</v>
      </c>
      <c r="L204" s="10">
        <v>13</v>
      </c>
      <c r="M204" s="11">
        <v>11000</v>
      </c>
      <c r="N204" s="11">
        <v>4612.8999999999996</v>
      </c>
      <c r="O204" s="11">
        <v>11.29</v>
      </c>
      <c r="P204" s="11">
        <v>0</v>
      </c>
      <c r="Q204" s="11">
        <v>4601.6099999999997</v>
      </c>
      <c r="R204" s="11">
        <v>0</v>
      </c>
      <c r="S204" s="11">
        <v>4601.6099999999997</v>
      </c>
    </row>
    <row r="205" spans="1:19" x14ac:dyDescent="0.3">
      <c r="A205" s="8" t="s">
        <v>14</v>
      </c>
      <c r="B205" s="9" t="s">
        <v>90</v>
      </c>
      <c r="C205" s="9" t="s">
        <v>54</v>
      </c>
      <c r="D205" s="9" t="s">
        <v>303</v>
      </c>
      <c r="E205" s="9"/>
      <c r="F205" s="10">
        <v>31</v>
      </c>
      <c r="G205" s="10">
        <v>0</v>
      </c>
      <c r="H205" s="10">
        <v>31</v>
      </c>
      <c r="I205" s="10">
        <v>0</v>
      </c>
      <c r="J205" s="10">
        <v>0</v>
      </c>
      <c r="K205" s="10">
        <v>0</v>
      </c>
      <c r="L205" s="10">
        <v>0</v>
      </c>
      <c r="M205" s="11">
        <v>15500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</row>
    <row r="206" spans="1:19" x14ac:dyDescent="0.3">
      <c r="A206" s="8" t="s">
        <v>14</v>
      </c>
      <c r="B206" s="9" t="s">
        <v>91</v>
      </c>
      <c r="C206" s="9" t="s">
        <v>64</v>
      </c>
      <c r="D206" s="9" t="s">
        <v>303</v>
      </c>
      <c r="E206" s="9" t="s">
        <v>92</v>
      </c>
      <c r="F206" s="10">
        <v>31</v>
      </c>
      <c r="G206" s="10">
        <v>31</v>
      </c>
      <c r="H206" s="10">
        <v>0</v>
      </c>
      <c r="I206" s="10">
        <v>5</v>
      </c>
      <c r="J206" s="10">
        <v>9</v>
      </c>
      <c r="K206" s="10">
        <v>0</v>
      </c>
      <c r="L206" s="10">
        <v>9</v>
      </c>
      <c r="M206" s="11">
        <v>16000</v>
      </c>
      <c r="N206" s="11">
        <v>16000</v>
      </c>
      <c r="O206" s="11">
        <v>0.39</v>
      </c>
      <c r="P206" s="11">
        <v>0</v>
      </c>
      <c r="Q206" s="11">
        <v>15999.61</v>
      </c>
      <c r="R206" s="11">
        <v>0</v>
      </c>
      <c r="S206" s="11">
        <v>15999.61</v>
      </c>
    </row>
    <row r="207" spans="1:19" x14ac:dyDescent="0.3">
      <c r="A207" s="8" t="s">
        <v>14</v>
      </c>
      <c r="B207" s="9" t="s">
        <v>93</v>
      </c>
      <c r="C207" s="9" t="s">
        <v>54</v>
      </c>
      <c r="D207" s="9" t="s">
        <v>305</v>
      </c>
      <c r="E207" s="9" t="s">
        <v>56</v>
      </c>
      <c r="F207" s="10">
        <v>31</v>
      </c>
      <c r="G207" s="10">
        <v>28</v>
      </c>
      <c r="H207" s="10">
        <v>3</v>
      </c>
      <c r="I207" s="10">
        <v>3</v>
      </c>
      <c r="J207" s="10">
        <v>7</v>
      </c>
      <c r="K207" s="10">
        <v>3</v>
      </c>
      <c r="L207" s="10">
        <v>4</v>
      </c>
      <c r="M207" s="11">
        <v>9500</v>
      </c>
      <c r="N207" s="11">
        <v>9500</v>
      </c>
      <c r="O207" s="11">
        <v>3.33</v>
      </c>
      <c r="P207" s="11">
        <v>0</v>
      </c>
      <c r="Q207" s="11">
        <v>9496.67</v>
      </c>
      <c r="R207" s="11">
        <v>0</v>
      </c>
      <c r="S207" s="11">
        <v>9496.67</v>
      </c>
    </row>
    <row r="208" spans="1:19" x14ac:dyDescent="0.3">
      <c r="A208" s="8" t="s">
        <v>14</v>
      </c>
      <c r="B208" s="9" t="s">
        <v>94</v>
      </c>
      <c r="C208" s="9" t="s">
        <v>95</v>
      </c>
      <c r="D208" s="9" t="s">
        <v>303</v>
      </c>
      <c r="E208" s="9"/>
      <c r="F208" s="10">
        <v>31</v>
      </c>
      <c r="G208" s="10">
        <v>0</v>
      </c>
      <c r="H208" s="10">
        <v>31</v>
      </c>
      <c r="I208" s="10">
        <v>0</v>
      </c>
      <c r="J208" s="10">
        <v>0</v>
      </c>
      <c r="K208" s="10">
        <v>0</v>
      </c>
      <c r="L208" s="10">
        <v>0</v>
      </c>
      <c r="M208" s="11">
        <v>16000</v>
      </c>
      <c r="N208" s="11">
        <v>0</v>
      </c>
      <c r="O208" s="11">
        <v>0.35</v>
      </c>
      <c r="P208" s="11">
        <v>0</v>
      </c>
      <c r="Q208" s="11">
        <v>-0.35</v>
      </c>
      <c r="R208" s="11">
        <v>0</v>
      </c>
      <c r="S208" s="11">
        <v>-0.35</v>
      </c>
    </row>
    <row r="209" spans="1:19" x14ac:dyDescent="0.3">
      <c r="A209" s="8" t="s">
        <v>14</v>
      </c>
      <c r="B209" s="9" t="s">
        <v>96</v>
      </c>
      <c r="C209" s="9" t="s">
        <v>54</v>
      </c>
      <c r="D209" s="9" t="s">
        <v>301</v>
      </c>
      <c r="E209" s="9" t="s">
        <v>97</v>
      </c>
      <c r="F209" s="10">
        <v>31</v>
      </c>
      <c r="G209" s="10">
        <v>30</v>
      </c>
      <c r="H209" s="10">
        <v>1</v>
      </c>
      <c r="I209" s="10">
        <v>15</v>
      </c>
      <c r="J209" s="10">
        <v>19</v>
      </c>
      <c r="K209" s="10">
        <v>1</v>
      </c>
      <c r="L209" s="10">
        <v>18</v>
      </c>
      <c r="M209" s="11">
        <v>13000</v>
      </c>
      <c r="N209" s="11">
        <v>13000</v>
      </c>
      <c r="O209" s="11">
        <v>0</v>
      </c>
      <c r="P209" s="11">
        <v>0</v>
      </c>
      <c r="Q209" s="11">
        <v>13000</v>
      </c>
      <c r="R209" s="11">
        <v>1000</v>
      </c>
      <c r="S209" s="11">
        <v>12000</v>
      </c>
    </row>
    <row r="210" spans="1:19" x14ac:dyDescent="0.3">
      <c r="A210" s="8" t="s">
        <v>14</v>
      </c>
      <c r="B210" s="9" t="s">
        <v>98</v>
      </c>
      <c r="C210" s="9" t="s">
        <v>54</v>
      </c>
      <c r="D210" s="9" t="s">
        <v>301</v>
      </c>
      <c r="E210" s="9"/>
      <c r="F210" s="10">
        <v>31</v>
      </c>
      <c r="G210" s="10">
        <v>0</v>
      </c>
      <c r="H210" s="10">
        <v>31</v>
      </c>
      <c r="I210" s="10">
        <v>0</v>
      </c>
      <c r="J210" s="10">
        <v>0</v>
      </c>
      <c r="K210" s="10">
        <v>0</v>
      </c>
      <c r="L210" s="10">
        <v>0</v>
      </c>
      <c r="M210" s="11">
        <v>9000</v>
      </c>
      <c r="N210" s="11">
        <v>0</v>
      </c>
      <c r="O210" s="11">
        <v>21</v>
      </c>
      <c r="P210" s="11">
        <v>0</v>
      </c>
      <c r="Q210" s="11">
        <v>-21</v>
      </c>
      <c r="R210" s="11">
        <v>0</v>
      </c>
      <c r="S210" s="11">
        <v>-21</v>
      </c>
    </row>
    <row r="211" spans="1:19" x14ac:dyDescent="0.3">
      <c r="A211" s="8" t="s">
        <v>14</v>
      </c>
      <c r="B211" s="9" t="s">
        <v>99</v>
      </c>
      <c r="C211" s="9" t="s">
        <v>54</v>
      </c>
      <c r="D211" s="9" t="s">
        <v>307</v>
      </c>
      <c r="E211" s="9" t="s">
        <v>56</v>
      </c>
      <c r="F211" s="10">
        <v>31</v>
      </c>
      <c r="G211" s="10">
        <v>30</v>
      </c>
      <c r="H211" s="10">
        <v>1</v>
      </c>
      <c r="I211" s="10">
        <v>0</v>
      </c>
      <c r="J211" s="10">
        <v>0</v>
      </c>
      <c r="K211" s="10">
        <v>0</v>
      </c>
      <c r="L211" s="10">
        <v>0</v>
      </c>
      <c r="M211" s="11">
        <v>9000</v>
      </c>
      <c r="N211" s="11">
        <v>8709.68</v>
      </c>
      <c r="O211" s="11">
        <v>0</v>
      </c>
      <c r="P211" s="11">
        <v>0</v>
      </c>
      <c r="Q211" s="11">
        <v>8710.31</v>
      </c>
      <c r="R211" s="11">
        <v>0</v>
      </c>
      <c r="S211" s="11">
        <v>8710.31</v>
      </c>
    </row>
    <row r="212" spans="1:19" x14ac:dyDescent="0.3">
      <c r="A212" s="8" t="s">
        <v>14</v>
      </c>
      <c r="B212" s="9" t="s">
        <v>101</v>
      </c>
      <c r="C212" s="9" t="s">
        <v>54</v>
      </c>
      <c r="D212" s="9" t="s">
        <v>308</v>
      </c>
      <c r="E212" s="9"/>
      <c r="F212" s="10">
        <v>31</v>
      </c>
      <c r="G212" s="10">
        <v>0</v>
      </c>
      <c r="H212" s="10">
        <v>31</v>
      </c>
      <c r="I212" s="10">
        <v>0</v>
      </c>
      <c r="J212" s="10">
        <v>0</v>
      </c>
      <c r="K212" s="10">
        <v>0</v>
      </c>
      <c r="L212" s="10">
        <v>0</v>
      </c>
      <c r="M212" s="11">
        <v>9500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</row>
    <row r="213" spans="1:19" x14ac:dyDescent="0.3">
      <c r="A213" s="8" t="s">
        <v>14</v>
      </c>
      <c r="B213" s="9" t="s">
        <v>103</v>
      </c>
      <c r="C213" s="9" t="s">
        <v>54</v>
      </c>
      <c r="D213" s="9" t="s">
        <v>303</v>
      </c>
      <c r="E213" s="9"/>
      <c r="F213" s="10">
        <v>31</v>
      </c>
      <c r="G213" s="10">
        <v>0</v>
      </c>
      <c r="H213" s="10">
        <v>31</v>
      </c>
      <c r="I213" s="10">
        <v>0</v>
      </c>
      <c r="J213" s="10">
        <v>0</v>
      </c>
      <c r="K213" s="10">
        <v>0</v>
      </c>
      <c r="L213" s="10">
        <v>0</v>
      </c>
      <c r="M213" s="11">
        <v>14500</v>
      </c>
      <c r="N213" s="11">
        <v>0</v>
      </c>
      <c r="O213" s="11">
        <v>0</v>
      </c>
      <c r="P213" s="11">
        <v>0</v>
      </c>
      <c r="Q213" s="11">
        <v>4200</v>
      </c>
      <c r="R213" s="11">
        <v>0</v>
      </c>
      <c r="S213" s="11">
        <v>4200</v>
      </c>
    </row>
    <row r="214" spans="1:19" x14ac:dyDescent="0.3">
      <c r="A214" s="8" t="s">
        <v>14</v>
      </c>
      <c r="B214" s="9" t="s">
        <v>104</v>
      </c>
      <c r="C214" s="9" t="s">
        <v>54</v>
      </c>
      <c r="D214" s="9" t="s">
        <v>302</v>
      </c>
      <c r="E214" s="9"/>
      <c r="F214" s="10">
        <v>31</v>
      </c>
      <c r="G214" s="10">
        <v>0</v>
      </c>
      <c r="H214" s="10">
        <v>31</v>
      </c>
      <c r="I214" s="10">
        <v>0</v>
      </c>
      <c r="J214" s="10">
        <v>0</v>
      </c>
      <c r="K214" s="10">
        <v>0</v>
      </c>
      <c r="L214" s="10">
        <v>0</v>
      </c>
      <c r="M214" s="11">
        <v>9500</v>
      </c>
      <c r="N214" s="11">
        <v>0</v>
      </c>
      <c r="O214" s="11">
        <v>0</v>
      </c>
      <c r="P214" s="11">
        <v>0</v>
      </c>
      <c r="Q214" s="11">
        <v>3.78</v>
      </c>
      <c r="R214" s="11">
        <v>0</v>
      </c>
      <c r="S214" s="11">
        <v>3.78</v>
      </c>
    </row>
    <row r="215" spans="1:19" x14ac:dyDescent="0.3">
      <c r="A215" s="8" t="s">
        <v>14</v>
      </c>
      <c r="B215" s="9" t="s">
        <v>105</v>
      </c>
      <c r="C215" s="9" t="s">
        <v>64</v>
      </c>
      <c r="D215" s="9" t="s">
        <v>302</v>
      </c>
      <c r="E215" s="9" t="s">
        <v>92</v>
      </c>
      <c r="F215" s="10">
        <v>31</v>
      </c>
      <c r="G215" s="10">
        <v>24</v>
      </c>
      <c r="H215" s="10">
        <v>7</v>
      </c>
      <c r="I215" s="10">
        <v>0</v>
      </c>
      <c r="J215" s="10">
        <v>3</v>
      </c>
      <c r="K215" s="10">
        <v>3</v>
      </c>
      <c r="L215" s="10">
        <v>0</v>
      </c>
      <c r="M215" s="11">
        <v>9500</v>
      </c>
      <c r="N215" s="11">
        <v>8274.19</v>
      </c>
      <c r="O215" s="11">
        <v>813.14</v>
      </c>
      <c r="P215" s="11">
        <v>0</v>
      </c>
      <c r="Q215" s="11">
        <v>7461.05</v>
      </c>
      <c r="R215" s="11">
        <v>0</v>
      </c>
      <c r="S215" s="11">
        <v>7461.05</v>
      </c>
    </row>
    <row r="216" spans="1:19" x14ac:dyDescent="0.3">
      <c r="A216" s="8" t="s">
        <v>14</v>
      </c>
      <c r="B216" s="9" t="s">
        <v>106</v>
      </c>
      <c r="C216" s="9" t="s">
        <v>54</v>
      </c>
      <c r="D216" s="9" t="s">
        <v>301</v>
      </c>
      <c r="E216" s="9" t="s">
        <v>56</v>
      </c>
      <c r="F216" s="10">
        <v>31</v>
      </c>
      <c r="G216" s="10">
        <v>28</v>
      </c>
      <c r="H216" s="10">
        <v>3</v>
      </c>
      <c r="I216" s="10">
        <v>0</v>
      </c>
      <c r="J216" s="10">
        <v>4</v>
      </c>
      <c r="K216" s="10">
        <v>3</v>
      </c>
      <c r="L216" s="10">
        <v>1</v>
      </c>
      <c r="M216" s="11">
        <v>10000</v>
      </c>
      <c r="N216" s="11">
        <v>10000</v>
      </c>
      <c r="O216" s="11">
        <v>17.170000000000002</v>
      </c>
      <c r="P216" s="11">
        <v>0</v>
      </c>
      <c r="Q216" s="11">
        <v>9982.83</v>
      </c>
      <c r="R216" s="11">
        <v>0</v>
      </c>
      <c r="S216" s="11">
        <v>9982.83</v>
      </c>
    </row>
    <row r="217" spans="1:19" x14ac:dyDescent="0.3">
      <c r="A217" s="8" t="s">
        <v>14</v>
      </c>
      <c r="B217" s="9" t="s">
        <v>107</v>
      </c>
      <c r="C217" s="9" t="s">
        <v>54</v>
      </c>
      <c r="D217" s="9" t="s">
        <v>309</v>
      </c>
      <c r="E217" s="9"/>
      <c r="F217" s="10">
        <v>31</v>
      </c>
      <c r="G217" s="10">
        <v>0</v>
      </c>
      <c r="H217" s="10">
        <v>31</v>
      </c>
      <c r="I217" s="10">
        <v>0</v>
      </c>
      <c r="J217" s="10">
        <v>0</v>
      </c>
      <c r="K217" s="10">
        <v>0</v>
      </c>
      <c r="L217" s="10">
        <v>0</v>
      </c>
      <c r="M217" s="11">
        <v>9000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</row>
    <row r="218" spans="1:19" x14ac:dyDescent="0.3">
      <c r="A218" s="8" t="s">
        <v>14</v>
      </c>
      <c r="B218" s="9" t="s">
        <v>109</v>
      </c>
      <c r="C218" s="9" t="s">
        <v>54</v>
      </c>
      <c r="D218" s="9" t="s">
        <v>310</v>
      </c>
      <c r="E218" s="9" t="s">
        <v>59</v>
      </c>
      <c r="F218" s="10">
        <v>31</v>
      </c>
      <c r="G218" s="10">
        <v>28</v>
      </c>
      <c r="H218" s="10">
        <v>3</v>
      </c>
      <c r="I218" s="10">
        <v>4</v>
      </c>
      <c r="J218" s="10">
        <v>8</v>
      </c>
      <c r="K218" s="10">
        <v>3</v>
      </c>
      <c r="L218" s="10">
        <v>5</v>
      </c>
      <c r="M218" s="11">
        <v>17000</v>
      </c>
      <c r="N218" s="11">
        <v>17000</v>
      </c>
      <c r="O218" s="11">
        <v>0</v>
      </c>
      <c r="P218" s="11">
        <v>0</v>
      </c>
      <c r="Q218" s="11">
        <v>17000</v>
      </c>
      <c r="R218" s="11">
        <v>0</v>
      </c>
      <c r="S218" s="11">
        <v>17000</v>
      </c>
    </row>
    <row r="219" spans="1:19" x14ac:dyDescent="0.3">
      <c r="A219" s="8" t="s">
        <v>14</v>
      </c>
      <c r="B219" s="9" t="s">
        <v>111</v>
      </c>
      <c r="C219" s="9" t="s">
        <v>54</v>
      </c>
      <c r="D219" s="9" t="s">
        <v>307</v>
      </c>
      <c r="E219" s="9" t="s">
        <v>56</v>
      </c>
      <c r="F219" s="10">
        <v>31</v>
      </c>
      <c r="G219" s="10">
        <v>28</v>
      </c>
      <c r="H219" s="10">
        <v>3</v>
      </c>
      <c r="I219" s="10">
        <v>0</v>
      </c>
      <c r="J219" s="10">
        <v>0</v>
      </c>
      <c r="K219" s="10">
        <v>0</v>
      </c>
      <c r="L219" s="10">
        <v>0</v>
      </c>
      <c r="M219" s="11">
        <v>9000</v>
      </c>
      <c r="N219" s="11">
        <v>8129.03</v>
      </c>
      <c r="O219" s="11">
        <v>0</v>
      </c>
      <c r="P219" s="11">
        <v>0</v>
      </c>
      <c r="Q219" s="11">
        <v>8129.49</v>
      </c>
      <c r="R219" s="11">
        <v>0</v>
      </c>
      <c r="S219" s="11">
        <v>8129.49</v>
      </c>
    </row>
    <row r="220" spans="1:19" x14ac:dyDescent="0.3">
      <c r="A220" s="8" t="s">
        <v>14</v>
      </c>
      <c r="B220" s="9" t="s">
        <v>112</v>
      </c>
      <c r="C220" s="9" t="s">
        <v>54</v>
      </c>
      <c r="D220" s="9" t="s">
        <v>311</v>
      </c>
      <c r="E220" s="9"/>
      <c r="F220" s="10">
        <v>31</v>
      </c>
      <c r="G220" s="10">
        <v>0</v>
      </c>
      <c r="H220" s="10">
        <v>31</v>
      </c>
      <c r="I220" s="10">
        <v>0</v>
      </c>
      <c r="J220" s="10">
        <v>0</v>
      </c>
      <c r="K220" s="10">
        <v>0</v>
      </c>
      <c r="L220" s="10">
        <v>0</v>
      </c>
      <c r="M220" s="11">
        <v>9500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</row>
    <row r="221" spans="1:19" x14ac:dyDescent="0.3">
      <c r="A221" s="8" t="s">
        <v>14</v>
      </c>
      <c r="B221" s="9" t="s">
        <v>114</v>
      </c>
      <c r="C221" s="9" t="s">
        <v>54</v>
      </c>
      <c r="D221" s="9" t="s">
        <v>307</v>
      </c>
      <c r="E221" s="9" t="s">
        <v>56</v>
      </c>
      <c r="F221" s="10">
        <v>31</v>
      </c>
      <c r="G221" s="10">
        <v>29</v>
      </c>
      <c r="H221" s="10">
        <v>2</v>
      </c>
      <c r="I221" s="10">
        <v>0</v>
      </c>
      <c r="J221" s="10">
        <v>0</v>
      </c>
      <c r="K221" s="10">
        <v>0</v>
      </c>
      <c r="L221" s="10">
        <v>0</v>
      </c>
      <c r="M221" s="11">
        <v>9000</v>
      </c>
      <c r="N221" s="11">
        <v>8419.35</v>
      </c>
      <c r="O221" s="11">
        <v>1.1299999999999999</v>
      </c>
      <c r="P221" s="11">
        <v>0</v>
      </c>
      <c r="Q221" s="11">
        <v>8418.2199999999993</v>
      </c>
      <c r="R221" s="11">
        <v>0</v>
      </c>
      <c r="S221" s="11">
        <v>8418.2199999999993</v>
      </c>
    </row>
    <row r="222" spans="1:19" x14ac:dyDescent="0.3">
      <c r="A222" s="8" t="s">
        <v>14</v>
      </c>
      <c r="B222" s="9" t="s">
        <v>115</v>
      </c>
      <c r="C222" s="9" t="s">
        <v>54</v>
      </c>
      <c r="D222" s="9" t="s">
        <v>312</v>
      </c>
      <c r="E222" s="9" t="s">
        <v>56</v>
      </c>
      <c r="F222" s="10">
        <v>31</v>
      </c>
      <c r="G222" s="10">
        <v>25</v>
      </c>
      <c r="H222" s="10">
        <v>6</v>
      </c>
      <c r="I222" s="10">
        <v>1</v>
      </c>
      <c r="J222" s="10">
        <v>5</v>
      </c>
      <c r="K222" s="10">
        <v>5</v>
      </c>
      <c r="L222" s="10">
        <v>0</v>
      </c>
      <c r="M222" s="11">
        <v>17000</v>
      </c>
      <c r="N222" s="11">
        <v>16451.61</v>
      </c>
      <c r="O222" s="11">
        <v>0.32</v>
      </c>
      <c r="P222" s="11">
        <v>0</v>
      </c>
      <c r="Q222" s="11">
        <v>16451.29</v>
      </c>
      <c r="R222" s="11">
        <v>0</v>
      </c>
      <c r="S222" s="11">
        <v>16451.29</v>
      </c>
    </row>
    <row r="223" spans="1:19" x14ac:dyDescent="0.3">
      <c r="A223" s="8" t="s">
        <v>14</v>
      </c>
      <c r="B223" s="9" t="s">
        <v>117</v>
      </c>
      <c r="C223" s="9" t="s">
        <v>64</v>
      </c>
      <c r="D223" s="9" t="s">
        <v>313</v>
      </c>
      <c r="E223" s="9" t="s">
        <v>119</v>
      </c>
      <c r="F223" s="10">
        <v>31</v>
      </c>
      <c r="G223" s="10">
        <v>31</v>
      </c>
      <c r="H223" s="10">
        <v>0</v>
      </c>
      <c r="I223" s="10">
        <v>0</v>
      </c>
      <c r="J223" s="10">
        <v>4</v>
      </c>
      <c r="K223" s="10">
        <v>0</v>
      </c>
      <c r="L223" s="10">
        <v>4</v>
      </c>
      <c r="M223" s="11">
        <v>17000</v>
      </c>
      <c r="N223" s="11">
        <v>17000</v>
      </c>
      <c r="O223" s="11">
        <v>17000</v>
      </c>
      <c r="P223" s="11">
        <v>0</v>
      </c>
      <c r="Q223" s="11">
        <v>0</v>
      </c>
      <c r="R223" s="11">
        <v>0</v>
      </c>
      <c r="S223" s="11">
        <v>0</v>
      </c>
    </row>
    <row r="224" spans="1:19" x14ac:dyDescent="0.3">
      <c r="A224" s="8" t="s">
        <v>14</v>
      </c>
      <c r="B224" s="9" t="s">
        <v>120</v>
      </c>
      <c r="C224" s="9" t="s">
        <v>54</v>
      </c>
      <c r="D224" s="9" t="s">
        <v>304</v>
      </c>
      <c r="E224" s="9"/>
      <c r="F224" s="10">
        <v>31</v>
      </c>
      <c r="G224" s="10">
        <v>0</v>
      </c>
      <c r="H224" s="10">
        <v>31</v>
      </c>
      <c r="I224" s="10">
        <v>0</v>
      </c>
      <c r="J224" s="10">
        <v>0</v>
      </c>
      <c r="K224" s="10">
        <v>0</v>
      </c>
      <c r="L224" s="10">
        <v>0</v>
      </c>
      <c r="M224" s="11">
        <v>37000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</row>
    <row r="225" spans="1:19" x14ac:dyDescent="0.3">
      <c r="A225" s="8" t="s">
        <v>14</v>
      </c>
      <c r="B225" s="9" t="s">
        <v>121</v>
      </c>
      <c r="C225" s="9" t="s">
        <v>64</v>
      </c>
      <c r="D225" s="9" t="s">
        <v>314</v>
      </c>
      <c r="E225" s="9" t="s">
        <v>56</v>
      </c>
      <c r="F225" s="10">
        <v>31</v>
      </c>
      <c r="G225" s="10">
        <v>29</v>
      </c>
      <c r="H225" s="10">
        <v>2</v>
      </c>
      <c r="I225" s="10">
        <v>7</v>
      </c>
      <c r="J225" s="10">
        <v>11</v>
      </c>
      <c r="K225" s="10">
        <v>2</v>
      </c>
      <c r="L225" s="10">
        <v>9</v>
      </c>
      <c r="M225" s="11">
        <v>18000</v>
      </c>
      <c r="N225" s="11">
        <v>18000</v>
      </c>
      <c r="O225" s="11">
        <v>0</v>
      </c>
      <c r="P225" s="11">
        <v>0</v>
      </c>
      <c r="Q225" s="11">
        <v>18000</v>
      </c>
      <c r="R225" s="11">
        <v>0</v>
      </c>
      <c r="S225" s="11">
        <v>18000</v>
      </c>
    </row>
    <row r="226" spans="1:19" x14ac:dyDescent="0.3">
      <c r="A226" s="8" t="s">
        <v>14</v>
      </c>
      <c r="B226" s="9" t="s">
        <v>123</v>
      </c>
      <c r="C226" s="9" t="s">
        <v>54</v>
      </c>
      <c r="D226" s="9" t="s">
        <v>307</v>
      </c>
      <c r="E226" s="9"/>
      <c r="F226" s="10">
        <v>31</v>
      </c>
      <c r="G226" s="10">
        <v>4</v>
      </c>
      <c r="H226" s="10">
        <v>27</v>
      </c>
      <c r="I226" s="10">
        <v>0</v>
      </c>
      <c r="J226" s="10">
        <v>0</v>
      </c>
      <c r="K226" s="10">
        <v>0</v>
      </c>
      <c r="L226" s="10">
        <v>0</v>
      </c>
      <c r="M226" s="11">
        <v>11850</v>
      </c>
      <c r="N226" s="11">
        <v>1529.03</v>
      </c>
      <c r="O226" s="11">
        <v>0</v>
      </c>
      <c r="P226" s="11">
        <v>0</v>
      </c>
      <c r="Q226" s="11">
        <v>1529.03</v>
      </c>
      <c r="R226" s="11">
        <v>0</v>
      </c>
      <c r="S226" s="11">
        <v>1529.03</v>
      </c>
    </row>
    <row r="227" spans="1:19" x14ac:dyDescent="0.3">
      <c r="A227" s="8" t="s">
        <v>14</v>
      </c>
      <c r="B227" s="9" t="s">
        <v>124</v>
      </c>
      <c r="C227" s="9" t="s">
        <v>64</v>
      </c>
      <c r="D227" s="9" t="s">
        <v>301</v>
      </c>
      <c r="E227" s="9" t="s">
        <v>59</v>
      </c>
      <c r="F227" s="10">
        <v>31</v>
      </c>
      <c r="G227" s="10">
        <v>28</v>
      </c>
      <c r="H227" s="10">
        <v>3</v>
      </c>
      <c r="I227" s="10">
        <v>2</v>
      </c>
      <c r="J227" s="10">
        <v>6</v>
      </c>
      <c r="K227" s="10">
        <v>3</v>
      </c>
      <c r="L227" s="10">
        <v>3</v>
      </c>
      <c r="M227" s="11">
        <v>14000</v>
      </c>
      <c r="N227" s="11">
        <v>14000</v>
      </c>
      <c r="O227" s="11">
        <v>0</v>
      </c>
      <c r="P227" s="11">
        <v>0</v>
      </c>
      <c r="Q227" s="11">
        <v>22000</v>
      </c>
      <c r="R227" s="11">
        <v>0</v>
      </c>
      <c r="S227" s="11">
        <v>22000</v>
      </c>
    </row>
    <row r="228" spans="1:19" x14ac:dyDescent="0.3">
      <c r="A228" s="8" t="s">
        <v>14</v>
      </c>
      <c r="B228" s="9" t="s">
        <v>125</v>
      </c>
      <c r="C228" s="9" t="s">
        <v>54</v>
      </c>
      <c r="D228" s="9" t="s">
        <v>306</v>
      </c>
      <c r="E228" s="9"/>
      <c r="F228" s="10">
        <v>31</v>
      </c>
      <c r="G228" s="10">
        <v>0</v>
      </c>
      <c r="H228" s="10">
        <v>31</v>
      </c>
      <c r="I228" s="10">
        <v>0</v>
      </c>
      <c r="J228" s="10">
        <v>0</v>
      </c>
      <c r="K228" s="10">
        <v>0</v>
      </c>
      <c r="L228" s="10">
        <v>0</v>
      </c>
      <c r="M228" s="11">
        <v>11000</v>
      </c>
      <c r="N228" s="11">
        <v>0</v>
      </c>
      <c r="O228" s="11">
        <v>0</v>
      </c>
      <c r="P228" s="11">
        <v>0</v>
      </c>
      <c r="Q228" s="11">
        <v>0.33</v>
      </c>
      <c r="R228" s="11">
        <v>0</v>
      </c>
      <c r="S228" s="11">
        <v>0.33</v>
      </c>
    </row>
    <row r="229" spans="1:19" x14ac:dyDescent="0.3">
      <c r="A229" s="8" t="s">
        <v>14</v>
      </c>
      <c r="B229" s="9" t="s">
        <v>126</v>
      </c>
      <c r="C229" s="9" t="s">
        <v>54</v>
      </c>
      <c r="D229" s="9" t="s">
        <v>304</v>
      </c>
      <c r="E229" s="9"/>
      <c r="F229" s="10">
        <v>31</v>
      </c>
      <c r="G229" s="10">
        <v>0</v>
      </c>
      <c r="H229" s="10">
        <v>31</v>
      </c>
      <c r="I229" s="10">
        <v>0</v>
      </c>
      <c r="J229" s="10">
        <v>0</v>
      </c>
      <c r="K229" s="10">
        <v>0</v>
      </c>
      <c r="L229" s="10">
        <v>0</v>
      </c>
      <c r="M229" s="11">
        <v>30000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</row>
    <row r="230" spans="1:19" x14ac:dyDescent="0.3">
      <c r="A230" s="8" t="s">
        <v>14</v>
      </c>
      <c r="B230" s="9" t="s">
        <v>127</v>
      </c>
      <c r="C230" s="9" t="s">
        <v>64</v>
      </c>
      <c r="D230" s="9" t="s">
        <v>310</v>
      </c>
      <c r="E230" s="9" t="s">
        <v>128</v>
      </c>
      <c r="F230" s="10">
        <v>31</v>
      </c>
      <c r="G230" s="10">
        <v>31</v>
      </c>
      <c r="H230" s="10">
        <v>0</v>
      </c>
      <c r="I230" s="10">
        <v>0</v>
      </c>
      <c r="J230" s="10">
        <v>4</v>
      </c>
      <c r="K230" s="10">
        <v>0</v>
      </c>
      <c r="L230" s="10">
        <v>4</v>
      </c>
      <c r="M230" s="11">
        <v>19500</v>
      </c>
      <c r="N230" s="11">
        <v>19500</v>
      </c>
      <c r="O230" s="11">
        <v>693.91</v>
      </c>
      <c r="P230" s="11">
        <v>0</v>
      </c>
      <c r="Q230" s="11">
        <v>18806.09</v>
      </c>
      <c r="R230" s="11">
        <v>0</v>
      </c>
      <c r="S230" s="11">
        <v>18806.09</v>
      </c>
    </row>
    <row r="231" spans="1:19" x14ac:dyDescent="0.3">
      <c r="A231" s="8" t="s">
        <v>14</v>
      </c>
      <c r="B231" s="9" t="s">
        <v>129</v>
      </c>
      <c r="C231" s="9" t="s">
        <v>54</v>
      </c>
      <c r="D231" s="9" t="s">
        <v>130</v>
      </c>
      <c r="E231" s="9"/>
      <c r="F231" s="10">
        <v>31</v>
      </c>
      <c r="G231" s="10">
        <v>0</v>
      </c>
      <c r="H231" s="10">
        <v>31</v>
      </c>
      <c r="I231" s="10">
        <v>0</v>
      </c>
      <c r="J231" s="10">
        <v>0</v>
      </c>
      <c r="K231" s="10">
        <v>0</v>
      </c>
      <c r="L231" s="10">
        <v>0</v>
      </c>
      <c r="M231" s="11">
        <v>11000</v>
      </c>
      <c r="N231" s="11">
        <v>0</v>
      </c>
      <c r="O231" s="11">
        <v>0</v>
      </c>
      <c r="P231" s="11">
        <v>0</v>
      </c>
      <c r="Q231" s="11">
        <v>12832.33</v>
      </c>
      <c r="R231" s="11">
        <v>0</v>
      </c>
      <c r="S231" s="11">
        <v>12832.33</v>
      </c>
    </row>
    <row r="232" spans="1:19" x14ac:dyDescent="0.3">
      <c r="A232" s="8" t="s">
        <v>14</v>
      </c>
      <c r="B232" s="9" t="s">
        <v>340</v>
      </c>
      <c r="C232" s="9" t="s">
        <v>54</v>
      </c>
      <c r="D232" s="9" t="s">
        <v>315</v>
      </c>
      <c r="E232" s="9"/>
      <c r="F232" s="10">
        <v>31</v>
      </c>
      <c r="G232" s="10">
        <v>0</v>
      </c>
      <c r="H232" s="10">
        <v>31</v>
      </c>
      <c r="I232" s="10">
        <v>0</v>
      </c>
      <c r="J232" s="10">
        <v>0</v>
      </c>
      <c r="K232" s="10">
        <v>0</v>
      </c>
      <c r="L232" s="10">
        <v>0</v>
      </c>
      <c r="M232" s="11">
        <v>11000</v>
      </c>
      <c r="N232" s="11">
        <v>0</v>
      </c>
      <c r="O232" s="11">
        <v>0</v>
      </c>
      <c r="P232" s="11">
        <v>0</v>
      </c>
      <c r="Q232" s="11">
        <v>13.98</v>
      </c>
      <c r="R232" s="11">
        <v>0</v>
      </c>
      <c r="S232" s="11">
        <v>13.98</v>
      </c>
    </row>
    <row r="233" spans="1:19" x14ac:dyDescent="0.3">
      <c r="A233" s="8" t="s">
        <v>14</v>
      </c>
      <c r="B233" s="9" t="s">
        <v>133</v>
      </c>
      <c r="C233" s="9" t="s">
        <v>64</v>
      </c>
      <c r="D233" s="9" t="s">
        <v>310</v>
      </c>
      <c r="E233" s="9" t="s">
        <v>134</v>
      </c>
      <c r="F233" s="10">
        <v>31</v>
      </c>
      <c r="G233" s="10">
        <v>18</v>
      </c>
      <c r="H233" s="10">
        <v>13</v>
      </c>
      <c r="I233" s="10">
        <v>0</v>
      </c>
      <c r="J233" s="10">
        <v>2</v>
      </c>
      <c r="K233" s="10">
        <v>2</v>
      </c>
      <c r="L233" s="10">
        <v>0</v>
      </c>
      <c r="M233" s="11">
        <v>19000</v>
      </c>
      <c r="N233" s="11">
        <v>12258.06</v>
      </c>
      <c r="O233" s="11">
        <v>1.41</v>
      </c>
      <c r="P233" s="11">
        <v>0</v>
      </c>
      <c r="Q233" s="11">
        <v>12256.66</v>
      </c>
      <c r="R233" s="11">
        <v>0</v>
      </c>
      <c r="S233" s="11">
        <v>12256.66</v>
      </c>
    </row>
    <row r="234" spans="1:19" x14ac:dyDescent="0.3">
      <c r="A234" s="8" t="s">
        <v>14</v>
      </c>
      <c r="B234" s="9" t="s">
        <v>135</v>
      </c>
      <c r="C234" s="9" t="s">
        <v>54</v>
      </c>
      <c r="D234" s="9" t="s">
        <v>302</v>
      </c>
      <c r="E234" s="9"/>
      <c r="F234" s="10">
        <v>31</v>
      </c>
      <c r="G234" s="10">
        <v>0</v>
      </c>
      <c r="H234" s="10">
        <v>31</v>
      </c>
      <c r="I234" s="10">
        <v>0</v>
      </c>
      <c r="J234" s="10">
        <v>0</v>
      </c>
      <c r="K234" s="10">
        <v>0</v>
      </c>
      <c r="L234" s="10">
        <v>0</v>
      </c>
      <c r="M234" s="11">
        <v>9500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</row>
    <row r="235" spans="1:19" x14ac:dyDescent="0.3">
      <c r="A235" s="8" t="s">
        <v>14</v>
      </c>
      <c r="B235" s="9" t="s">
        <v>136</v>
      </c>
      <c r="C235" s="9" t="s">
        <v>64</v>
      </c>
      <c r="D235" s="9" t="s">
        <v>301</v>
      </c>
      <c r="E235" s="9" t="s">
        <v>97</v>
      </c>
      <c r="F235" s="10">
        <v>31</v>
      </c>
      <c r="G235" s="10">
        <v>27</v>
      </c>
      <c r="H235" s="10">
        <v>4</v>
      </c>
      <c r="I235" s="10">
        <v>4</v>
      </c>
      <c r="J235" s="10">
        <v>8</v>
      </c>
      <c r="K235" s="10">
        <v>4</v>
      </c>
      <c r="L235" s="10">
        <v>4</v>
      </c>
      <c r="M235" s="11">
        <v>14000</v>
      </c>
      <c r="N235" s="11">
        <v>14000</v>
      </c>
      <c r="O235" s="11">
        <v>0.33</v>
      </c>
      <c r="P235" s="11">
        <v>0</v>
      </c>
      <c r="Q235" s="11">
        <v>13999.67</v>
      </c>
      <c r="R235" s="11">
        <v>0</v>
      </c>
      <c r="S235" s="11">
        <v>13999.67</v>
      </c>
    </row>
    <row r="236" spans="1:19" x14ac:dyDescent="0.3">
      <c r="A236" s="8" t="s">
        <v>14</v>
      </c>
      <c r="B236" s="9" t="s">
        <v>137</v>
      </c>
      <c r="C236" s="9" t="s">
        <v>54</v>
      </c>
      <c r="D236" s="9" t="s">
        <v>307</v>
      </c>
      <c r="E236" s="9" t="s">
        <v>56</v>
      </c>
      <c r="F236" s="10">
        <v>31</v>
      </c>
      <c r="G236" s="10">
        <v>30</v>
      </c>
      <c r="H236" s="10">
        <v>1</v>
      </c>
      <c r="I236" s="10">
        <v>0</v>
      </c>
      <c r="J236" s="10">
        <v>0</v>
      </c>
      <c r="K236" s="10">
        <v>0</v>
      </c>
      <c r="L236" s="10">
        <v>0</v>
      </c>
      <c r="M236" s="11">
        <v>9000</v>
      </c>
      <c r="N236" s="11">
        <v>8709.68</v>
      </c>
      <c r="O236" s="11">
        <v>0.69</v>
      </c>
      <c r="P236" s="11">
        <v>0</v>
      </c>
      <c r="Q236" s="11">
        <v>8708.99</v>
      </c>
      <c r="R236" s="11">
        <v>0</v>
      </c>
      <c r="S236" s="11">
        <v>8708.99</v>
      </c>
    </row>
    <row r="237" spans="1:19" x14ac:dyDescent="0.3">
      <c r="A237" s="8" t="s">
        <v>14</v>
      </c>
      <c r="B237" s="9" t="s">
        <v>138</v>
      </c>
      <c r="C237" s="9" t="s">
        <v>54</v>
      </c>
      <c r="D237" s="9" t="s">
        <v>303</v>
      </c>
      <c r="E237" s="9"/>
      <c r="F237" s="10">
        <v>31</v>
      </c>
      <c r="G237" s="10">
        <v>0</v>
      </c>
      <c r="H237" s="10">
        <v>31</v>
      </c>
      <c r="I237" s="10">
        <v>0</v>
      </c>
      <c r="J237" s="10">
        <v>0</v>
      </c>
      <c r="K237" s="10">
        <v>0</v>
      </c>
      <c r="L237" s="10">
        <v>0</v>
      </c>
      <c r="M237" s="11">
        <v>16000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</row>
    <row r="238" spans="1:19" x14ac:dyDescent="0.3">
      <c r="A238" s="8" t="s">
        <v>14</v>
      </c>
      <c r="B238" s="9" t="s">
        <v>139</v>
      </c>
      <c r="C238" s="9" t="s">
        <v>64</v>
      </c>
      <c r="D238" s="9" t="s">
        <v>316</v>
      </c>
      <c r="E238" s="9" t="s">
        <v>84</v>
      </c>
      <c r="F238" s="10">
        <v>31</v>
      </c>
      <c r="G238" s="10">
        <v>26</v>
      </c>
      <c r="H238" s="10">
        <v>5</v>
      </c>
      <c r="I238" s="10">
        <v>2</v>
      </c>
      <c r="J238" s="10">
        <v>6</v>
      </c>
      <c r="K238" s="10">
        <v>5</v>
      </c>
      <c r="L238" s="10">
        <v>1</v>
      </c>
      <c r="M238" s="11">
        <v>16000</v>
      </c>
      <c r="N238" s="11">
        <v>16000</v>
      </c>
      <c r="O238" s="11">
        <v>3000</v>
      </c>
      <c r="P238" s="11">
        <v>0</v>
      </c>
      <c r="Q238" s="11">
        <v>13000</v>
      </c>
      <c r="R238" s="11">
        <v>300</v>
      </c>
      <c r="S238" s="11">
        <v>12700</v>
      </c>
    </row>
    <row r="239" spans="1:19" x14ac:dyDescent="0.3">
      <c r="A239" s="8" t="s">
        <v>14</v>
      </c>
      <c r="B239" s="9" t="s">
        <v>141</v>
      </c>
      <c r="C239" s="9" t="s">
        <v>64</v>
      </c>
      <c r="D239" s="9" t="s">
        <v>303</v>
      </c>
      <c r="E239" s="9" t="s">
        <v>97</v>
      </c>
      <c r="F239" s="10">
        <v>31</v>
      </c>
      <c r="G239" s="10">
        <v>0</v>
      </c>
      <c r="H239" s="10">
        <v>31</v>
      </c>
      <c r="I239" s="10">
        <v>0</v>
      </c>
      <c r="J239" s="10">
        <v>0</v>
      </c>
      <c r="K239" s="10">
        <v>0</v>
      </c>
      <c r="L239" s="10">
        <v>0</v>
      </c>
      <c r="M239" s="11">
        <v>16000</v>
      </c>
      <c r="N239" s="11">
        <v>0</v>
      </c>
      <c r="O239" s="11">
        <v>43.01</v>
      </c>
      <c r="P239" s="11">
        <v>0</v>
      </c>
      <c r="Q239" s="11">
        <v>-43.01</v>
      </c>
      <c r="R239" s="11">
        <v>0</v>
      </c>
      <c r="S239" s="11">
        <v>-43.01</v>
      </c>
    </row>
    <row r="240" spans="1:19" x14ac:dyDescent="0.3">
      <c r="A240" s="8" t="s">
        <v>14</v>
      </c>
      <c r="B240" s="9" t="s">
        <v>142</v>
      </c>
      <c r="C240" s="9" t="s">
        <v>54</v>
      </c>
      <c r="D240" s="9" t="s">
        <v>305</v>
      </c>
      <c r="E240" s="9" t="s">
        <v>56</v>
      </c>
      <c r="F240" s="10">
        <v>31</v>
      </c>
      <c r="G240" s="10">
        <v>27</v>
      </c>
      <c r="H240" s="10">
        <v>4</v>
      </c>
      <c r="I240" s="10">
        <v>1</v>
      </c>
      <c r="J240" s="10">
        <v>5</v>
      </c>
      <c r="K240" s="10">
        <v>4</v>
      </c>
      <c r="L240" s="10">
        <v>1</v>
      </c>
      <c r="M240" s="11">
        <v>9500</v>
      </c>
      <c r="N240" s="11">
        <v>9500</v>
      </c>
      <c r="O240" s="11">
        <v>0</v>
      </c>
      <c r="P240" s="11">
        <v>0</v>
      </c>
      <c r="Q240" s="11">
        <v>9500.0400000000009</v>
      </c>
      <c r="R240" s="11">
        <v>0</v>
      </c>
      <c r="S240" s="11">
        <v>9500.0400000000009</v>
      </c>
    </row>
    <row r="241" spans="1:19" x14ac:dyDescent="0.3">
      <c r="A241" s="8" t="s">
        <v>14</v>
      </c>
      <c r="B241" s="9" t="s">
        <v>143</v>
      </c>
      <c r="C241" s="9" t="s">
        <v>54</v>
      </c>
      <c r="D241" s="9" t="s">
        <v>303</v>
      </c>
      <c r="E241" s="9" t="s">
        <v>144</v>
      </c>
      <c r="F241" s="10">
        <v>31</v>
      </c>
      <c r="G241" s="10">
        <v>29</v>
      </c>
      <c r="H241" s="10">
        <v>2</v>
      </c>
      <c r="I241" s="10">
        <v>1</v>
      </c>
      <c r="J241" s="10">
        <v>5</v>
      </c>
      <c r="K241" s="10">
        <v>2</v>
      </c>
      <c r="L241" s="10">
        <v>3</v>
      </c>
      <c r="M241" s="11">
        <v>16000</v>
      </c>
      <c r="N241" s="11">
        <v>16000</v>
      </c>
      <c r="O241" s="11">
        <v>16.13</v>
      </c>
      <c r="P241" s="11">
        <v>0</v>
      </c>
      <c r="Q241" s="11">
        <v>15983.87</v>
      </c>
      <c r="R241" s="11">
        <v>0</v>
      </c>
      <c r="S241" s="11">
        <v>15983.87</v>
      </c>
    </row>
    <row r="242" spans="1:19" x14ac:dyDescent="0.3">
      <c r="A242" s="8" t="s">
        <v>14</v>
      </c>
      <c r="B242" s="9" t="s">
        <v>145</v>
      </c>
      <c r="C242" s="9" t="s">
        <v>54</v>
      </c>
      <c r="D242" s="9" t="s">
        <v>317</v>
      </c>
      <c r="E242" s="9"/>
      <c r="F242" s="10">
        <v>31</v>
      </c>
      <c r="G242" s="10">
        <v>0</v>
      </c>
      <c r="H242" s="10">
        <v>31</v>
      </c>
      <c r="I242" s="10">
        <v>0</v>
      </c>
      <c r="J242" s="10">
        <v>0</v>
      </c>
      <c r="K242" s="10">
        <v>0</v>
      </c>
      <c r="L242" s="10">
        <v>0</v>
      </c>
      <c r="M242" s="11">
        <v>17000</v>
      </c>
      <c r="N242" s="11">
        <v>0</v>
      </c>
      <c r="O242" s="11">
        <v>0</v>
      </c>
      <c r="P242" s="11">
        <v>0</v>
      </c>
      <c r="Q242" s="11">
        <v>5009.1000000000004</v>
      </c>
      <c r="R242" s="11">
        <v>0</v>
      </c>
      <c r="S242" s="11">
        <v>5009.1000000000004</v>
      </c>
    </row>
    <row r="243" spans="1:19" x14ac:dyDescent="0.3">
      <c r="A243" s="8" t="s">
        <v>14</v>
      </c>
      <c r="B243" s="9" t="s">
        <v>147</v>
      </c>
      <c r="C243" s="9" t="s">
        <v>54</v>
      </c>
      <c r="D243" s="9" t="s">
        <v>303</v>
      </c>
      <c r="E243" s="9" t="s">
        <v>59</v>
      </c>
      <c r="F243" s="10">
        <v>31</v>
      </c>
      <c r="G243" s="10">
        <v>21</v>
      </c>
      <c r="H243" s="10">
        <v>10</v>
      </c>
      <c r="I243" s="10">
        <v>0</v>
      </c>
      <c r="J243" s="10">
        <v>3</v>
      </c>
      <c r="K243" s="10">
        <v>3</v>
      </c>
      <c r="L243" s="10">
        <v>0</v>
      </c>
      <c r="M243" s="11">
        <v>16000</v>
      </c>
      <c r="N243" s="11">
        <v>12387.1</v>
      </c>
      <c r="O243" s="11">
        <v>0</v>
      </c>
      <c r="P243" s="11">
        <v>0</v>
      </c>
      <c r="Q243" s="11">
        <v>22554.38</v>
      </c>
      <c r="R243" s="11">
        <v>0</v>
      </c>
      <c r="S243" s="11">
        <v>22554.38</v>
      </c>
    </row>
    <row r="244" spans="1:19" x14ac:dyDescent="0.3">
      <c r="A244" s="8" t="s">
        <v>14</v>
      </c>
      <c r="B244" s="9" t="s">
        <v>148</v>
      </c>
      <c r="C244" s="9" t="s">
        <v>64</v>
      </c>
      <c r="D244" s="9" t="s">
        <v>301</v>
      </c>
      <c r="E244" s="9" t="s">
        <v>97</v>
      </c>
      <c r="F244" s="10">
        <v>31</v>
      </c>
      <c r="G244" s="10">
        <v>25</v>
      </c>
      <c r="H244" s="10">
        <v>6</v>
      </c>
      <c r="I244" s="10">
        <v>2</v>
      </c>
      <c r="J244" s="10">
        <v>6</v>
      </c>
      <c r="K244" s="10">
        <v>6</v>
      </c>
      <c r="L244" s="10">
        <v>0</v>
      </c>
      <c r="M244" s="11">
        <v>14500</v>
      </c>
      <c r="N244" s="11">
        <v>14500</v>
      </c>
      <c r="O244" s="11">
        <v>219.35</v>
      </c>
      <c r="P244" s="11">
        <v>0</v>
      </c>
      <c r="Q244" s="11">
        <v>14280.65</v>
      </c>
      <c r="R244" s="11">
        <v>0</v>
      </c>
      <c r="S244" s="11">
        <v>14280.65</v>
      </c>
    </row>
    <row r="245" spans="1:19" x14ac:dyDescent="0.3">
      <c r="A245" s="8" t="s">
        <v>14</v>
      </c>
      <c r="B245" s="9" t="s">
        <v>149</v>
      </c>
      <c r="C245" s="9" t="s">
        <v>54</v>
      </c>
      <c r="D245" s="9" t="s">
        <v>310</v>
      </c>
      <c r="E245" s="9" t="s">
        <v>56</v>
      </c>
      <c r="F245" s="10">
        <v>31</v>
      </c>
      <c r="G245" s="10">
        <v>29</v>
      </c>
      <c r="H245" s="10">
        <v>2</v>
      </c>
      <c r="I245" s="10">
        <v>0</v>
      </c>
      <c r="J245" s="10">
        <v>4</v>
      </c>
      <c r="K245" s="10">
        <v>2</v>
      </c>
      <c r="L245" s="10">
        <v>2</v>
      </c>
      <c r="M245" s="11">
        <v>18000</v>
      </c>
      <c r="N245" s="11">
        <v>18000</v>
      </c>
      <c r="O245" s="11">
        <v>0</v>
      </c>
      <c r="P245" s="11">
        <v>0</v>
      </c>
      <c r="Q245" s="11">
        <v>18000</v>
      </c>
      <c r="R245" s="11">
        <v>0</v>
      </c>
      <c r="S245" s="11">
        <v>18000</v>
      </c>
    </row>
    <row r="246" spans="1:19" x14ac:dyDescent="0.3">
      <c r="A246" s="8" t="s">
        <v>14</v>
      </c>
      <c r="B246" s="9" t="s">
        <v>150</v>
      </c>
      <c r="C246" s="9" t="s">
        <v>64</v>
      </c>
      <c r="D246" s="9" t="s">
        <v>306</v>
      </c>
      <c r="E246" s="9" t="s">
        <v>97</v>
      </c>
      <c r="F246" s="10">
        <v>31</v>
      </c>
      <c r="G246" s="10">
        <v>31</v>
      </c>
      <c r="H246" s="10">
        <v>0</v>
      </c>
      <c r="I246" s="10">
        <v>11</v>
      </c>
      <c r="J246" s="10">
        <v>15</v>
      </c>
      <c r="K246" s="10">
        <v>0</v>
      </c>
      <c r="L246" s="10">
        <v>15</v>
      </c>
      <c r="M246" s="11">
        <v>13500</v>
      </c>
      <c r="N246" s="11">
        <v>13500</v>
      </c>
      <c r="O246" s="11">
        <v>51080</v>
      </c>
      <c r="P246" s="11">
        <v>0</v>
      </c>
      <c r="Q246" s="11">
        <v>-37580</v>
      </c>
      <c r="R246" s="11">
        <v>0</v>
      </c>
      <c r="S246" s="11">
        <v>-37580</v>
      </c>
    </row>
    <row r="247" spans="1:19" x14ac:dyDescent="0.3">
      <c r="A247" s="8" t="s">
        <v>14</v>
      </c>
      <c r="B247" s="9" t="s">
        <v>151</v>
      </c>
      <c r="C247" s="9" t="s">
        <v>64</v>
      </c>
      <c r="D247" s="9" t="s">
        <v>303</v>
      </c>
      <c r="E247" s="9" t="s">
        <v>119</v>
      </c>
      <c r="F247" s="10">
        <v>31</v>
      </c>
      <c r="G247" s="10">
        <v>15</v>
      </c>
      <c r="H247" s="10">
        <v>16</v>
      </c>
      <c r="I247" s="10">
        <v>0</v>
      </c>
      <c r="J247" s="10">
        <v>1</v>
      </c>
      <c r="K247" s="10">
        <v>1</v>
      </c>
      <c r="L247" s="10">
        <v>0</v>
      </c>
      <c r="M247" s="11">
        <v>16000</v>
      </c>
      <c r="N247" s="11">
        <v>8258.06</v>
      </c>
      <c r="O247" s="11">
        <v>9402.74</v>
      </c>
      <c r="P247" s="11">
        <v>0</v>
      </c>
      <c r="Q247" s="11">
        <v>-1144.68</v>
      </c>
      <c r="R247" s="11">
        <v>0</v>
      </c>
      <c r="S247" s="11">
        <v>-1144.68</v>
      </c>
    </row>
    <row r="248" spans="1:19" x14ac:dyDescent="0.3">
      <c r="A248" s="8" t="s">
        <v>14</v>
      </c>
      <c r="B248" s="9" t="s">
        <v>152</v>
      </c>
      <c r="C248" s="9" t="s">
        <v>54</v>
      </c>
      <c r="D248" s="9" t="s">
        <v>306</v>
      </c>
      <c r="E248" s="9"/>
      <c r="F248" s="10">
        <v>31</v>
      </c>
      <c r="G248" s="10">
        <v>0</v>
      </c>
      <c r="H248" s="10">
        <v>31</v>
      </c>
      <c r="I248" s="10">
        <v>0</v>
      </c>
      <c r="J248" s="10">
        <v>0</v>
      </c>
      <c r="K248" s="10">
        <v>0</v>
      </c>
      <c r="L248" s="10">
        <v>0</v>
      </c>
      <c r="M248" s="11">
        <v>12000</v>
      </c>
      <c r="N248" s="11">
        <v>0</v>
      </c>
      <c r="O248" s="11">
        <v>0.45</v>
      </c>
      <c r="P248" s="11">
        <v>0</v>
      </c>
      <c r="Q248" s="11">
        <v>-0.45</v>
      </c>
      <c r="R248" s="11">
        <v>0</v>
      </c>
      <c r="S248" s="11">
        <v>-0.45</v>
      </c>
    </row>
    <row r="249" spans="1:19" x14ac:dyDescent="0.3">
      <c r="A249" s="8" t="s">
        <v>14</v>
      </c>
      <c r="B249" s="9" t="s">
        <v>153</v>
      </c>
      <c r="C249" s="9" t="s">
        <v>54</v>
      </c>
      <c r="D249" s="9" t="s">
        <v>154</v>
      </c>
      <c r="E249" s="9" t="s">
        <v>56</v>
      </c>
      <c r="F249" s="10">
        <v>31</v>
      </c>
      <c r="G249" s="10">
        <v>0</v>
      </c>
      <c r="H249" s="10">
        <v>31</v>
      </c>
      <c r="I249" s="10">
        <v>0</v>
      </c>
      <c r="J249" s="10">
        <v>0</v>
      </c>
      <c r="K249" s="10">
        <v>0</v>
      </c>
      <c r="L249" s="10">
        <v>0</v>
      </c>
      <c r="M249" s="11">
        <v>11000</v>
      </c>
      <c r="N249" s="11">
        <v>0</v>
      </c>
      <c r="O249" s="11">
        <v>0.39</v>
      </c>
      <c r="P249" s="11">
        <v>0</v>
      </c>
      <c r="Q249" s="11">
        <v>-0.39</v>
      </c>
      <c r="R249" s="11">
        <v>0</v>
      </c>
      <c r="S249" s="11">
        <v>-0.39</v>
      </c>
    </row>
    <row r="250" spans="1:19" x14ac:dyDescent="0.3">
      <c r="A250" s="8" t="s">
        <v>14</v>
      </c>
      <c r="B250" s="9" t="s">
        <v>155</v>
      </c>
      <c r="C250" s="9" t="s">
        <v>54</v>
      </c>
      <c r="D250" s="9" t="s">
        <v>303</v>
      </c>
      <c r="E250" s="9" t="s">
        <v>242</v>
      </c>
      <c r="F250" s="10">
        <v>31</v>
      </c>
      <c r="G250" s="10">
        <v>28</v>
      </c>
      <c r="H250" s="10">
        <v>3</v>
      </c>
      <c r="I250" s="10">
        <v>0</v>
      </c>
      <c r="J250" s="10">
        <v>4</v>
      </c>
      <c r="K250" s="10">
        <v>3</v>
      </c>
      <c r="L250" s="10">
        <v>1</v>
      </c>
      <c r="M250" s="11">
        <v>16000</v>
      </c>
      <c r="N250" s="11">
        <v>16000</v>
      </c>
      <c r="O250" s="11">
        <v>0</v>
      </c>
      <c r="P250" s="11">
        <v>0</v>
      </c>
      <c r="Q250" s="11">
        <v>16399.669999999998</v>
      </c>
      <c r="R250" s="11">
        <v>0</v>
      </c>
      <c r="S250" s="11">
        <v>16399.669999999998</v>
      </c>
    </row>
    <row r="251" spans="1:19" x14ac:dyDescent="0.3">
      <c r="A251" s="8" t="s">
        <v>14</v>
      </c>
      <c r="B251" s="9" t="s">
        <v>156</v>
      </c>
      <c r="C251" s="9" t="s">
        <v>54</v>
      </c>
      <c r="D251" s="9" t="s">
        <v>310</v>
      </c>
      <c r="E251" s="9" t="s">
        <v>318</v>
      </c>
      <c r="F251" s="10">
        <v>31</v>
      </c>
      <c r="G251" s="10">
        <v>25</v>
      </c>
      <c r="H251" s="10">
        <v>6</v>
      </c>
      <c r="I251" s="10">
        <v>5</v>
      </c>
      <c r="J251" s="10">
        <v>9</v>
      </c>
      <c r="K251" s="10">
        <v>6</v>
      </c>
      <c r="L251" s="10">
        <v>3</v>
      </c>
      <c r="M251" s="11">
        <v>17000</v>
      </c>
      <c r="N251" s="11">
        <v>17000</v>
      </c>
      <c r="O251" s="11">
        <v>0</v>
      </c>
      <c r="P251" s="11">
        <v>0</v>
      </c>
      <c r="Q251" s="11">
        <v>17000.330000000002</v>
      </c>
      <c r="R251" s="11">
        <v>0</v>
      </c>
      <c r="S251" s="11">
        <v>17000.330000000002</v>
      </c>
    </row>
    <row r="252" spans="1:19" x14ac:dyDescent="0.3">
      <c r="A252" s="8" t="s">
        <v>14</v>
      </c>
      <c r="B252" s="9" t="s">
        <v>157</v>
      </c>
      <c r="C252" s="9" t="s">
        <v>64</v>
      </c>
      <c r="D252" s="9" t="s">
        <v>316</v>
      </c>
      <c r="E252" s="9" t="s">
        <v>97</v>
      </c>
      <c r="F252" s="10">
        <v>31</v>
      </c>
      <c r="G252" s="10">
        <v>23</v>
      </c>
      <c r="H252" s="10">
        <v>8</v>
      </c>
      <c r="I252" s="10">
        <v>7</v>
      </c>
      <c r="J252" s="10">
        <v>10</v>
      </c>
      <c r="K252" s="10">
        <v>8</v>
      </c>
      <c r="L252" s="10">
        <v>2</v>
      </c>
      <c r="M252" s="11">
        <v>20500</v>
      </c>
      <c r="N252" s="11">
        <v>20500</v>
      </c>
      <c r="O252" s="11">
        <v>20</v>
      </c>
      <c r="P252" s="11">
        <v>0</v>
      </c>
      <c r="Q252" s="11">
        <v>20480</v>
      </c>
      <c r="R252" s="11">
        <v>0</v>
      </c>
      <c r="S252" s="11">
        <v>20480</v>
      </c>
    </row>
    <row r="253" spans="1:19" x14ac:dyDescent="0.3">
      <c r="A253" s="8" t="s">
        <v>14</v>
      </c>
      <c r="B253" s="9" t="s">
        <v>158</v>
      </c>
      <c r="C253" s="9" t="s">
        <v>64</v>
      </c>
      <c r="D253" s="9" t="s">
        <v>310</v>
      </c>
      <c r="E253" s="9" t="s">
        <v>84</v>
      </c>
      <c r="F253" s="10">
        <v>31</v>
      </c>
      <c r="G253" s="10">
        <v>25</v>
      </c>
      <c r="H253" s="10">
        <v>6</v>
      </c>
      <c r="I253" s="10">
        <v>4</v>
      </c>
      <c r="J253" s="10">
        <v>8</v>
      </c>
      <c r="K253" s="10">
        <v>6</v>
      </c>
      <c r="L253" s="10">
        <v>2</v>
      </c>
      <c r="M253" s="11">
        <v>19500</v>
      </c>
      <c r="N253" s="11">
        <v>19500</v>
      </c>
      <c r="O253" s="11">
        <v>0</v>
      </c>
      <c r="P253" s="11">
        <v>0</v>
      </c>
      <c r="Q253" s="11">
        <v>19500</v>
      </c>
      <c r="R253" s="11">
        <v>0</v>
      </c>
      <c r="S253" s="11">
        <v>19500</v>
      </c>
    </row>
    <row r="254" spans="1:19" x14ac:dyDescent="0.3">
      <c r="A254" s="8" t="s">
        <v>14</v>
      </c>
      <c r="B254" s="9" t="s">
        <v>159</v>
      </c>
      <c r="C254" s="9" t="s">
        <v>54</v>
      </c>
      <c r="D254" s="9" t="s">
        <v>303</v>
      </c>
      <c r="E254" s="9" t="s">
        <v>92</v>
      </c>
      <c r="F254" s="10">
        <v>31</v>
      </c>
      <c r="G254" s="10">
        <v>0</v>
      </c>
      <c r="H254" s="10">
        <v>31</v>
      </c>
      <c r="I254" s="10">
        <v>0</v>
      </c>
      <c r="J254" s="10">
        <v>0</v>
      </c>
      <c r="K254" s="10">
        <v>0</v>
      </c>
      <c r="L254" s="10">
        <v>0</v>
      </c>
      <c r="M254" s="11">
        <v>5000</v>
      </c>
      <c r="N254" s="11">
        <v>0</v>
      </c>
      <c r="O254" s="11">
        <v>0</v>
      </c>
      <c r="P254" s="11">
        <v>0</v>
      </c>
      <c r="Q254" s="11">
        <v>25000</v>
      </c>
      <c r="R254" s="11">
        <v>0</v>
      </c>
      <c r="S254" s="11">
        <v>25000</v>
      </c>
    </row>
    <row r="255" spans="1:19" x14ac:dyDescent="0.3">
      <c r="A255" s="8" t="s">
        <v>14</v>
      </c>
      <c r="B255" s="9" t="s">
        <v>160</v>
      </c>
      <c r="C255" s="9" t="s">
        <v>54</v>
      </c>
      <c r="D255" s="9" t="s">
        <v>306</v>
      </c>
      <c r="E255" s="9" t="s">
        <v>56</v>
      </c>
      <c r="F255" s="10">
        <v>31</v>
      </c>
      <c r="G255" s="10">
        <v>24</v>
      </c>
      <c r="H255" s="10">
        <v>7</v>
      </c>
      <c r="I255" s="10">
        <v>1</v>
      </c>
      <c r="J255" s="10">
        <v>4</v>
      </c>
      <c r="K255" s="10">
        <v>4</v>
      </c>
      <c r="L255" s="10">
        <v>0</v>
      </c>
      <c r="M255" s="11">
        <v>10000</v>
      </c>
      <c r="N255" s="11">
        <v>9032.26</v>
      </c>
      <c r="O255" s="11">
        <v>0</v>
      </c>
      <c r="P255" s="11">
        <v>0</v>
      </c>
      <c r="Q255" s="11">
        <v>9032.26</v>
      </c>
      <c r="R255" s="11">
        <v>0</v>
      </c>
      <c r="S255" s="11">
        <v>9032.26</v>
      </c>
    </row>
    <row r="256" spans="1:19" x14ac:dyDescent="0.3">
      <c r="A256" s="8" t="s">
        <v>14</v>
      </c>
      <c r="B256" s="9" t="s">
        <v>161</v>
      </c>
      <c r="C256" s="9" t="s">
        <v>54</v>
      </c>
      <c r="D256" s="9" t="s">
        <v>301</v>
      </c>
      <c r="E256" s="9"/>
      <c r="F256" s="10">
        <v>31</v>
      </c>
      <c r="G256" s="10">
        <v>0</v>
      </c>
      <c r="H256" s="10">
        <v>31</v>
      </c>
      <c r="I256" s="10">
        <v>0</v>
      </c>
      <c r="J256" s="10">
        <v>0</v>
      </c>
      <c r="K256" s="10">
        <v>0</v>
      </c>
      <c r="L256" s="10">
        <v>0</v>
      </c>
      <c r="M256" s="11">
        <v>10000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</row>
    <row r="257" spans="1:19" x14ac:dyDescent="0.3">
      <c r="A257" s="8" t="s">
        <v>14</v>
      </c>
      <c r="B257" s="9" t="s">
        <v>162</v>
      </c>
      <c r="C257" s="9" t="s">
        <v>54</v>
      </c>
      <c r="D257" s="9" t="s">
        <v>306</v>
      </c>
      <c r="E257" s="9" t="s">
        <v>56</v>
      </c>
      <c r="F257" s="10">
        <v>31</v>
      </c>
      <c r="G257" s="10">
        <v>30</v>
      </c>
      <c r="H257" s="10">
        <v>1</v>
      </c>
      <c r="I257" s="10">
        <v>0</v>
      </c>
      <c r="J257" s="10">
        <v>4</v>
      </c>
      <c r="K257" s="10">
        <v>1</v>
      </c>
      <c r="L257" s="10">
        <v>3</v>
      </c>
      <c r="M257" s="11">
        <v>8500</v>
      </c>
      <c r="N257" s="11">
        <v>8500</v>
      </c>
      <c r="O257" s="11">
        <v>0</v>
      </c>
      <c r="P257" s="11">
        <v>0</v>
      </c>
      <c r="Q257" s="11">
        <v>8500</v>
      </c>
      <c r="R257" s="11">
        <v>0</v>
      </c>
      <c r="S257" s="11">
        <v>8500</v>
      </c>
    </row>
    <row r="258" spans="1:19" x14ac:dyDescent="0.3">
      <c r="A258" s="8" t="s">
        <v>14</v>
      </c>
      <c r="B258" s="9" t="s">
        <v>163</v>
      </c>
      <c r="C258" s="9" t="s">
        <v>54</v>
      </c>
      <c r="D258" s="9" t="s">
        <v>301</v>
      </c>
      <c r="E258" s="9" t="s">
        <v>319</v>
      </c>
      <c r="F258" s="10">
        <v>31</v>
      </c>
      <c r="G258" s="10">
        <v>29</v>
      </c>
      <c r="H258" s="10">
        <v>2</v>
      </c>
      <c r="I258" s="10">
        <v>9</v>
      </c>
      <c r="J258" s="10">
        <v>13</v>
      </c>
      <c r="K258" s="10">
        <v>2</v>
      </c>
      <c r="L258" s="10">
        <v>11</v>
      </c>
      <c r="M258" s="11">
        <v>11000</v>
      </c>
      <c r="N258" s="11">
        <v>11000</v>
      </c>
      <c r="O258" s="11">
        <v>33.33</v>
      </c>
      <c r="P258" s="11">
        <v>0</v>
      </c>
      <c r="Q258" s="11">
        <v>10966.67</v>
      </c>
      <c r="R258" s="11">
        <v>0</v>
      </c>
      <c r="S258" s="11">
        <v>10966.67</v>
      </c>
    </row>
    <row r="259" spans="1:19" x14ac:dyDescent="0.3">
      <c r="A259" s="8" t="s">
        <v>14</v>
      </c>
      <c r="B259" s="9" t="s">
        <v>341</v>
      </c>
      <c r="C259" s="9" t="s">
        <v>54</v>
      </c>
      <c r="D259" s="9" t="s">
        <v>166</v>
      </c>
      <c r="E259" s="9" t="s">
        <v>56</v>
      </c>
      <c r="F259" s="10">
        <v>31</v>
      </c>
      <c r="G259" s="10">
        <v>24</v>
      </c>
      <c r="H259" s="10">
        <v>7</v>
      </c>
      <c r="I259" s="10">
        <v>0</v>
      </c>
      <c r="J259" s="10">
        <v>3</v>
      </c>
      <c r="K259" s="10">
        <v>3</v>
      </c>
      <c r="L259" s="10">
        <v>0</v>
      </c>
      <c r="M259" s="11">
        <v>12000</v>
      </c>
      <c r="N259" s="11">
        <v>10451.61</v>
      </c>
      <c r="O259" s="11">
        <v>20888.759999999998</v>
      </c>
      <c r="P259" s="11">
        <v>0</v>
      </c>
      <c r="Q259" s="11">
        <v>-10437.14</v>
      </c>
      <c r="R259" s="11">
        <v>0</v>
      </c>
      <c r="S259" s="11">
        <v>-10437.14</v>
      </c>
    </row>
    <row r="260" spans="1:19" x14ac:dyDescent="0.3">
      <c r="A260" s="8" t="s">
        <v>14</v>
      </c>
      <c r="B260" s="9" t="s">
        <v>337</v>
      </c>
      <c r="C260" s="9" t="s">
        <v>54</v>
      </c>
      <c r="D260" s="9" t="s">
        <v>305</v>
      </c>
      <c r="E260" s="9"/>
      <c r="F260" s="10">
        <v>31</v>
      </c>
      <c r="G260" s="10">
        <v>0</v>
      </c>
      <c r="H260" s="10">
        <v>31</v>
      </c>
      <c r="I260" s="10">
        <v>0</v>
      </c>
      <c r="J260" s="10">
        <v>0</v>
      </c>
      <c r="K260" s="10">
        <v>0</v>
      </c>
      <c r="L260" s="10">
        <v>0</v>
      </c>
      <c r="M260" s="11">
        <v>9500</v>
      </c>
      <c r="N260" s="11">
        <v>0</v>
      </c>
      <c r="O260" s="11">
        <v>3.23</v>
      </c>
      <c r="P260" s="11">
        <v>0</v>
      </c>
      <c r="Q260" s="11">
        <v>-3.23</v>
      </c>
      <c r="R260" s="11">
        <v>0</v>
      </c>
      <c r="S260" s="11">
        <v>-3.23</v>
      </c>
    </row>
    <row r="261" spans="1:19" x14ac:dyDescent="0.3">
      <c r="A261" s="8" t="s">
        <v>14</v>
      </c>
      <c r="B261" s="9" t="s">
        <v>168</v>
      </c>
      <c r="C261" s="9" t="s">
        <v>64</v>
      </c>
      <c r="D261" s="9" t="s">
        <v>303</v>
      </c>
      <c r="E261" s="9"/>
      <c r="F261" s="10">
        <v>31</v>
      </c>
      <c r="G261" s="10">
        <v>0</v>
      </c>
      <c r="H261" s="10">
        <v>31</v>
      </c>
      <c r="I261" s="10">
        <v>0</v>
      </c>
      <c r="J261" s="10">
        <v>0</v>
      </c>
      <c r="K261" s="10">
        <v>0</v>
      </c>
      <c r="L261" s="10">
        <v>0</v>
      </c>
      <c r="M261" s="11">
        <v>16000</v>
      </c>
      <c r="N261" s="11">
        <v>0</v>
      </c>
      <c r="O261" s="11">
        <v>0</v>
      </c>
      <c r="P261" s="11">
        <v>0</v>
      </c>
      <c r="Q261" s="11">
        <v>9181.24</v>
      </c>
      <c r="R261" s="11">
        <v>0</v>
      </c>
      <c r="S261" s="11">
        <v>9181.24</v>
      </c>
    </row>
    <row r="262" spans="1:19" x14ac:dyDescent="0.3">
      <c r="A262" s="8" t="s">
        <v>14</v>
      </c>
      <c r="B262" s="9" t="s">
        <v>169</v>
      </c>
      <c r="C262" s="9" t="s">
        <v>64</v>
      </c>
      <c r="D262" s="9" t="s">
        <v>301</v>
      </c>
      <c r="E262" s="9"/>
      <c r="F262" s="10">
        <v>31</v>
      </c>
      <c r="G262" s="10">
        <v>0</v>
      </c>
      <c r="H262" s="10">
        <v>31</v>
      </c>
      <c r="I262" s="10">
        <v>0</v>
      </c>
      <c r="J262" s="10">
        <v>0</v>
      </c>
      <c r="K262" s="10">
        <v>0</v>
      </c>
      <c r="L262" s="10">
        <v>0</v>
      </c>
      <c r="M262" s="11">
        <v>14000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</row>
    <row r="263" spans="1:19" x14ac:dyDescent="0.3">
      <c r="A263" s="8" t="s">
        <v>14</v>
      </c>
      <c r="B263" s="9" t="s">
        <v>170</v>
      </c>
      <c r="C263" s="9" t="s">
        <v>54</v>
      </c>
      <c r="D263" s="9" t="s">
        <v>303</v>
      </c>
      <c r="E263" s="9" t="s">
        <v>56</v>
      </c>
      <c r="F263" s="10">
        <v>31</v>
      </c>
      <c r="G263" s="10">
        <v>0</v>
      </c>
      <c r="H263" s="10">
        <v>31</v>
      </c>
      <c r="I263" s="10">
        <v>3</v>
      </c>
      <c r="J263" s="10">
        <v>3</v>
      </c>
      <c r="K263" s="10">
        <v>3</v>
      </c>
      <c r="L263" s="10">
        <v>3</v>
      </c>
      <c r="M263" s="11">
        <v>16000</v>
      </c>
      <c r="N263" s="11">
        <v>1548.39</v>
      </c>
      <c r="O263" s="11">
        <v>0.06</v>
      </c>
      <c r="P263" s="11">
        <v>0</v>
      </c>
      <c r="Q263" s="11">
        <v>1548.32</v>
      </c>
      <c r="R263" s="11">
        <v>0</v>
      </c>
      <c r="S263" s="11">
        <v>1548.32</v>
      </c>
    </row>
    <row r="264" spans="1:19" x14ac:dyDescent="0.3">
      <c r="A264" s="8" t="s">
        <v>14</v>
      </c>
      <c r="B264" s="9" t="s">
        <v>338</v>
      </c>
      <c r="C264" s="9" t="s">
        <v>54</v>
      </c>
      <c r="D264" s="9" t="s">
        <v>172</v>
      </c>
      <c r="E264" s="9" t="s">
        <v>56</v>
      </c>
      <c r="F264" s="10">
        <v>31</v>
      </c>
      <c r="G264" s="10">
        <v>28</v>
      </c>
      <c r="H264" s="10">
        <v>3</v>
      </c>
      <c r="I264" s="10">
        <v>4</v>
      </c>
      <c r="J264" s="10">
        <v>8</v>
      </c>
      <c r="K264" s="10">
        <v>3</v>
      </c>
      <c r="L264" s="10">
        <v>5</v>
      </c>
      <c r="M264" s="11">
        <v>9000</v>
      </c>
      <c r="N264" s="11">
        <v>9000</v>
      </c>
      <c r="O264" s="11">
        <v>2</v>
      </c>
      <c r="P264" s="11">
        <v>0</v>
      </c>
      <c r="Q264" s="11">
        <v>8998</v>
      </c>
      <c r="R264" s="11">
        <v>0</v>
      </c>
      <c r="S264" s="11">
        <v>8998</v>
      </c>
    </row>
    <row r="265" spans="1:19" x14ac:dyDescent="0.3">
      <c r="A265" s="8" t="s">
        <v>14</v>
      </c>
      <c r="B265" s="9" t="s">
        <v>173</v>
      </c>
      <c r="C265" s="9" t="s">
        <v>54</v>
      </c>
      <c r="D265" s="9" t="s">
        <v>307</v>
      </c>
      <c r="E265" s="9" t="s">
        <v>56</v>
      </c>
      <c r="F265" s="10">
        <v>31</v>
      </c>
      <c r="G265" s="10">
        <v>29</v>
      </c>
      <c r="H265" s="10">
        <v>2</v>
      </c>
      <c r="I265" s="10">
        <v>0</v>
      </c>
      <c r="J265" s="10">
        <v>0</v>
      </c>
      <c r="K265" s="10">
        <v>0</v>
      </c>
      <c r="L265" s="10">
        <v>0</v>
      </c>
      <c r="M265" s="11">
        <v>9000</v>
      </c>
      <c r="N265" s="11">
        <v>8419.35</v>
      </c>
      <c r="O265" s="11">
        <v>0.56999999999999995</v>
      </c>
      <c r="P265" s="11">
        <v>0</v>
      </c>
      <c r="Q265" s="11">
        <v>8418.7800000000007</v>
      </c>
      <c r="R265" s="11">
        <v>0</v>
      </c>
      <c r="S265" s="11">
        <v>8418.7800000000007</v>
      </c>
    </row>
    <row r="266" spans="1:19" x14ac:dyDescent="0.3">
      <c r="A266" s="8" t="s">
        <v>14</v>
      </c>
      <c r="B266" s="9" t="s">
        <v>174</v>
      </c>
      <c r="C266" s="9" t="s">
        <v>54</v>
      </c>
      <c r="D266" s="9" t="s">
        <v>316</v>
      </c>
      <c r="E266" s="9"/>
      <c r="F266" s="10">
        <v>31</v>
      </c>
      <c r="G266" s="10">
        <v>0</v>
      </c>
      <c r="H266" s="10">
        <v>31</v>
      </c>
      <c r="I266" s="10">
        <v>0</v>
      </c>
      <c r="J266" s="10">
        <v>0</v>
      </c>
      <c r="K266" s="10">
        <v>0</v>
      </c>
      <c r="L266" s="10">
        <v>0</v>
      </c>
      <c r="M266" s="11">
        <v>15000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</row>
    <row r="267" spans="1:19" x14ac:dyDescent="0.3">
      <c r="A267" s="8" t="s">
        <v>14</v>
      </c>
      <c r="B267" s="9" t="s">
        <v>175</v>
      </c>
      <c r="C267" s="9" t="s">
        <v>54</v>
      </c>
      <c r="D267" s="9" t="s">
        <v>320</v>
      </c>
      <c r="E267" s="9" t="s">
        <v>92</v>
      </c>
      <c r="F267" s="10">
        <v>31</v>
      </c>
      <c r="G267" s="10">
        <v>24</v>
      </c>
      <c r="H267" s="10">
        <v>7</v>
      </c>
      <c r="I267" s="10">
        <v>3</v>
      </c>
      <c r="J267" s="10">
        <v>6</v>
      </c>
      <c r="K267" s="10">
        <v>6</v>
      </c>
      <c r="L267" s="10">
        <v>0</v>
      </c>
      <c r="M267" s="11">
        <v>9500</v>
      </c>
      <c r="N267" s="11">
        <v>9193.5499999999993</v>
      </c>
      <c r="O267" s="11">
        <v>38.71</v>
      </c>
      <c r="P267" s="11">
        <v>0</v>
      </c>
      <c r="Q267" s="11">
        <v>9154.84</v>
      </c>
      <c r="R267" s="11">
        <v>0</v>
      </c>
      <c r="S267" s="11">
        <v>9154.84</v>
      </c>
    </row>
    <row r="268" spans="1:19" x14ac:dyDescent="0.3">
      <c r="A268" s="8" t="s">
        <v>14</v>
      </c>
      <c r="B268" s="9" t="s">
        <v>177</v>
      </c>
      <c r="C268" s="9" t="s">
        <v>54</v>
      </c>
      <c r="D268" s="9" t="s">
        <v>303</v>
      </c>
      <c r="E268" s="9" t="s">
        <v>97</v>
      </c>
      <c r="F268" s="10">
        <v>31</v>
      </c>
      <c r="G268" s="10">
        <v>22</v>
      </c>
      <c r="H268" s="10">
        <v>9</v>
      </c>
      <c r="I268" s="10">
        <v>0</v>
      </c>
      <c r="J268" s="10">
        <v>3</v>
      </c>
      <c r="K268" s="10">
        <v>3</v>
      </c>
      <c r="L268" s="10">
        <v>0</v>
      </c>
      <c r="M268" s="11">
        <v>16000</v>
      </c>
      <c r="N268" s="11">
        <v>12903.23</v>
      </c>
      <c r="O268" s="11">
        <v>32533.33</v>
      </c>
      <c r="P268" s="11">
        <v>0</v>
      </c>
      <c r="Q268" s="11">
        <v>-19630.11</v>
      </c>
      <c r="R268" s="11">
        <v>0</v>
      </c>
      <c r="S268" s="11">
        <v>-19630.11</v>
      </c>
    </row>
    <row r="269" spans="1:19" x14ac:dyDescent="0.3">
      <c r="A269" s="8" t="s">
        <v>14</v>
      </c>
      <c r="B269" s="9" t="s">
        <v>178</v>
      </c>
      <c r="C269" s="9" t="s">
        <v>64</v>
      </c>
      <c r="D269" s="9" t="s">
        <v>316</v>
      </c>
      <c r="E269" s="9" t="s">
        <v>97</v>
      </c>
      <c r="F269" s="10">
        <v>31</v>
      </c>
      <c r="G269" s="10">
        <v>31</v>
      </c>
      <c r="H269" s="10">
        <v>0</v>
      </c>
      <c r="I269" s="10">
        <v>16</v>
      </c>
      <c r="J269" s="10">
        <v>20</v>
      </c>
      <c r="K269" s="10">
        <v>0</v>
      </c>
      <c r="L269" s="10">
        <v>20</v>
      </c>
      <c r="M269" s="11">
        <v>19500</v>
      </c>
      <c r="N269" s="11">
        <v>19500</v>
      </c>
      <c r="O269" s="11">
        <v>0</v>
      </c>
      <c r="P269" s="11">
        <v>0</v>
      </c>
      <c r="Q269" s="11">
        <v>19500</v>
      </c>
      <c r="R269" s="11">
        <v>0</v>
      </c>
      <c r="S269" s="11">
        <v>19500</v>
      </c>
    </row>
    <row r="270" spans="1:19" x14ac:dyDescent="0.3">
      <c r="A270" s="8" t="s">
        <v>14</v>
      </c>
      <c r="B270" s="9" t="s">
        <v>179</v>
      </c>
      <c r="C270" s="9" t="s">
        <v>54</v>
      </c>
      <c r="D270" s="9" t="s">
        <v>302</v>
      </c>
      <c r="E270" s="9"/>
      <c r="F270" s="10">
        <v>31</v>
      </c>
      <c r="G270" s="10">
        <v>0</v>
      </c>
      <c r="H270" s="10">
        <v>31</v>
      </c>
      <c r="I270" s="10">
        <v>0</v>
      </c>
      <c r="J270" s="10">
        <v>0</v>
      </c>
      <c r="K270" s="10">
        <v>0</v>
      </c>
      <c r="L270" s="10">
        <v>0</v>
      </c>
      <c r="M270" s="11">
        <v>9500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</row>
    <row r="271" spans="1:19" x14ac:dyDescent="0.3">
      <c r="A271" s="8" t="s">
        <v>14</v>
      </c>
      <c r="B271" s="9" t="s">
        <v>180</v>
      </c>
      <c r="C271" s="9" t="s">
        <v>64</v>
      </c>
      <c r="D271" s="9" t="s">
        <v>304</v>
      </c>
      <c r="E271" s="9" t="s">
        <v>59</v>
      </c>
      <c r="F271" s="10">
        <v>31</v>
      </c>
      <c r="G271" s="10">
        <v>22</v>
      </c>
      <c r="H271" s="10">
        <v>9</v>
      </c>
      <c r="I271" s="10">
        <v>0</v>
      </c>
      <c r="J271" s="10">
        <v>3</v>
      </c>
      <c r="K271" s="10">
        <v>3</v>
      </c>
      <c r="L271" s="10">
        <v>0</v>
      </c>
      <c r="M271" s="11">
        <v>22000</v>
      </c>
      <c r="N271" s="11">
        <v>17741.939999999999</v>
      </c>
      <c r="O271" s="11">
        <v>27500</v>
      </c>
      <c r="P271" s="11">
        <v>0</v>
      </c>
      <c r="Q271" s="11">
        <v>-9758.06</v>
      </c>
      <c r="R271" s="11">
        <v>0</v>
      </c>
      <c r="S271" s="11">
        <v>-9758.06</v>
      </c>
    </row>
    <row r="272" spans="1:19" x14ac:dyDescent="0.3">
      <c r="A272" s="8" t="s">
        <v>14</v>
      </c>
      <c r="B272" s="9" t="s">
        <v>181</v>
      </c>
      <c r="C272" s="9" t="s">
        <v>64</v>
      </c>
      <c r="D272" s="9" t="s">
        <v>182</v>
      </c>
      <c r="E272" s="9" t="s">
        <v>92</v>
      </c>
      <c r="F272" s="10">
        <v>31</v>
      </c>
      <c r="G272" s="10">
        <v>27</v>
      </c>
      <c r="H272" s="10">
        <v>4</v>
      </c>
      <c r="I272" s="10">
        <v>6</v>
      </c>
      <c r="J272" s="10">
        <v>10</v>
      </c>
      <c r="K272" s="10">
        <v>4</v>
      </c>
      <c r="L272" s="10">
        <v>6</v>
      </c>
      <c r="M272" s="11">
        <v>20000</v>
      </c>
      <c r="N272" s="11">
        <v>20000</v>
      </c>
      <c r="O272" s="11">
        <v>0</v>
      </c>
      <c r="P272" s="11">
        <v>0</v>
      </c>
      <c r="Q272" s="11">
        <v>20000</v>
      </c>
      <c r="R272" s="11">
        <v>0</v>
      </c>
      <c r="S272" s="11">
        <v>20000</v>
      </c>
    </row>
    <row r="273" spans="1:19" x14ac:dyDescent="0.3">
      <c r="A273" s="8" t="s">
        <v>14</v>
      </c>
      <c r="B273" s="9" t="s">
        <v>183</v>
      </c>
      <c r="C273" s="9" t="s">
        <v>54</v>
      </c>
      <c r="D273" s="9" t="s">
        <v>302</v>
      </c>
      <c r="E273" s="9" t="s">
        <v>92</v>
      </c>
      <c r="F273" s="10">
        <v>31</v>
      </c>
      <c r="G273" s="10">
        <v>29</v>
      </c>
      <c r="H273" s="10">
        <v>2</v>
      </c>
      <c r="I273" s="10">
        <v>8</v>
      </c>
      <c r="J273" s="10">
        <v>12</v>
      </c>
      <c r="K273" s="10">
        <v>2</v>
      </c>
      <c r="L273" s="10">
        <v>10</v>
      </c>
      <c r="M273" s="11">
        <v>9500</v>
      </c>
      <c r="N273" s="11">
        <v>9500</v>
      </c>
      <c r="O273" s="11">
        <v>0.14000000000000001</v>
      </c>
      <c r="P273" s="11">
        <v>0</v>
      </c>
      <c r="Q273" s="11">
        <v>9499.86</v>
      </c>
      <c r="R273" s="11">
        <v>0</v>
      </c>
      <c r="S273" s="11">
        <v>9499.86</v>
      </c>
    </row>
    <row r="274" spans="1:19" x14ac:dyDescent="0.3">
      <c r="A274" s="8" t="s">
        <v>14</v>
      </c>
      <c r="B274" s="9" t="s">
        <v>184</v>
      </c>
      <c r="C274" s="9" t="s">
        <v>54</v>
      </c>
      <c r="D274" s="9" t="s">
        <v>321</v>
      </c>
      <c r="E274" s="9" t="s">
        <v>56</v>
      </c>
      <c r="F274" s="10">
        <v>31</v>
      </c>
      <c r="G274" s="10">
        <v>24</v>
      </c>
      <c r="H274" s="10">
        <v>7</v>
      </c>
      <c r="I274" s="10">
        <v>0</v>
      </c>
      <c r="J274" s="10">
        <v>3</v>
      </c>
      <c r="K274" s="10">
        <v>3</v>
      </c>
      <c r="L274" s="10">
        <v>0</v>
      </c>
      <c r="M274" s="11">
        <v>9500</v>
      </c>
      <c r="N274" s="11">
        <v>8274.19</v>
      </c>
      <c r="O274" s="11">
        <v>0.71</v>
      </c>
      <c r="P274" s="11">
        <v>0</v>
      </c>
      <c r="Q274" s="11">
        <v>8273.49</v>
      </c>
      <c r="R274" s="11">
        <v>0</v>
      </c>
      <c r="S274" s="11">
        <v>8273.49</v>
      </c>
    </row>
    <row r="275" spans="1:19" x14ac:dyDescent="0.3">
      <c r="A275" s="8" t="s">
        <v>14</v>
      </c>
      <c r="B275" s="9" t="s">
        <v>185</v>
      </c>
      <c r="C275" s="9" t="s">
        <v>54</v>
      </c>
      <c r="D275" s="9" t="s">
        <v>303</v>
      </c>
      <c r="E275" s="9"/>
      <c r="F275" s="10">
        <v>31</v>
      </c>
      <c r="G275" s="10">
        <v>0</v>
      </c>
      <c r="H275" s="10">
        <v>31</v>
      </c>
      <c r="I275" s="10">
        <v>0</v>
      </c>
      <c r="J275" s="10">
        <v>0</v>
      </c>
      <c r="K275" s="10">
        <v>0</v>
      </c>
      <c r="L275" s="10">
        <v>0</v>
      </c>
      <c r="M275" s="11">
        <v>16000</v>
      </c>
      <c r="N275" s="11">
        <v>0</v>
      </c>
      <c r="O275" s="11">
        <v>0</v>
      </c>
      <c r="P275" s="11">
        <v>0</v>
      </c>
      <c r="Q275" s="11">
        <v>8419.1299999999992</v>
      </c>
      <c r="R275" s="11">
        <v>0</v>
      </c>
      <c r="S275" s="11">
        <v>8419.1299999999992</v>
      </c>
    </row>
    <row r="276" spans="1:19" x14ac:dyDescent="0.3">
      <c r="A276" s="8" t="s">
        <v>14</v>
      </c>
      <c r="B276" s="9" t="s">
        <v>186</v>
      </c>
      <c r="C276" s="9" t="s">
        <v>54</v>
      </c>
      <c r="D276" s="9" t="s">
        <v>322</v>
      </c>
      <c r="E276" s="9" t="s">
        <v>56</v>
      </c>
      <c r="F276" s="10">
        <v>31</v>
      </c>
      <c r="G276" s="10">
        <v>26</v>
      </c>
      <c r="H276" s="10">
        <v>5</v>
      </c>
      <c r="I276" s="10">
        <v>0</v>
      </c>
      <c r="J276" s="10">
        <v>4</v>
      </c>
      <c r="K276" s="10">
        <v>4</v>
      </c>
      <c r="L276" s="10">
        <v>0</v>
      </c>
      <c r="M276" s="11">
        <v>10000</v>
      </c>
      <c r="N276" s="11">
        <v>9677.42</v>
      </c>
      <c r="O276" s="11">
        <v>2.3199999999999998</v>
      </c>
      <c r="P276" s="11">
        <v>0</v>
      </c>
      <c r="Q276" s="11">
        <v>9675.1</v>
      </c>
      <c r="R276" s="11">
        <v>0</v>
      </c>
      <c r="S276" s="11">
        <v>9675.1</v>
      </c>
    </row>
    <row r="277" spans="1:19" x14ac:dyDescent="0.3">
      <c r="A277" s="8" t="s">
        <v>14</v>
      </c>
      <c r="B277" s="9" t="s">
        <v>188</v>
      </c>
      <c r="C277" s="9" t="s">
        <v>54</v>
      </c>
      <c r="D277" s="9" t="s">
        <v>303</v>
      </c>
      <c r="E277" s="9"/>
      <c r="F277" s="10">
        <v>31</v>
      </c>
      <c r="G277" s="10">
        <v>0</v>
      </c>
      <c r="H277" s="10">
        <v>31</v>
      </c>
      <c r="I277" s="10">
        <v>0</v>
      </c>
      <c r="J277" s="10">
        <v>0</v>
      </c>
      <c r="K277" s="10">
        <v>0</v>
      </c>
      <c r="L277" s="10">
        <v>0</v>
      </c>
      <c r="M277" s="11">
        <v>16000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</row>
    <row r="278" spans="1:19" x14ac:dyDescent="0.3">
      <c r="A278" s="8" t="s">
        <v>14</v>
      </c>
      <c r="B278" s="9" t="s">
        <v>189</v>
      </c>
      <c r="C278" s="9" t="s">
        <v>54</v>
      </c>
      <c r="D278" s="9" t="s">
        <v>307</v>
      </c>
      <c r="E278" s="9"/>
      <c r="F278" s="10">
        <v>31</v>
      </c>
      <c r="G278" s="10">
        <v>0</v>
      </c>
      <c r="H278" s="10">
        <v>31</v>
      </c>
      <c r="I278" s="10">
        <v>0</v>
      </c>
      <c r="J278" s="10">
        <v>0</v>
      </c>
      <c r="K278" s="10">
        <v>0</v>
      </c>
      <c r="L278" s="10">
        <v>0</v>
      </c>
      <c r="M278" s="11">
        <v>9000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</row>
    <row r="279" spans="1:19" x14ac:dyDescent="0.3">
      <c r="A279" s="8" t="s">
        <v>14</v>
      </c>
      <c r="B279" s="9" t="s">
        <v>190</v>
      </c>
      <c r="C279" s="9" t="s">
        <v>54</v>
      </c>
      <c r="D279" s="9" t="s">
        <v>311</v>
      </c>
      <c r="E279" s="9"/>
      <c r="F279" s="10">
        <v>31</v>
      </c>
      <c r="G279" s="10">
        <v>0</v>
      </c>
      <c r="H279" s="10">
        <v>31</v>
      </c>
      <c r="I279" s="10">
        <v>0</v>
      </c>
      <c r="J279" s="10">
        <v>0</v>
      </c>
      <c r="K279" s="10">
        <v>0</v>
      </c>
      <c r="L279" s="10">
        <v>0</v>
      </c>
      <c r="M279" s="11">
        <v>9000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</row>
    <row r="280" spans="1:19" x14ac:dyDescent="0.3">
      <c r="A280" s="8" t="s">
        <v>14</v>
      </c>
      <c r="B280" s="9" t="s">
        <v>191</v>
      </c>
      <c r="C280" s="9" t="s">
        <v>54</v>
      </c>
      <c r="D280" s="9" t="s">
        <v>323</v>
      </c>
      <c r="E280" s="9" t="s">
        <v>56</v>
      </c>
      <c r="F280" s="10">
        <v>31</v>
      </c>
      <c r="G280" s="10">
        <v>28</v>
      </c>
      <c r="H280" s="10">
        <v>3</v>
      </c>
      <c r="I280" s="10">
        <v>0</v>
      </c>
      <c r="J280" s="10">
        <v>4</v>
      </c>
      <c r="K280" s="10">
        <v>3</v>
      </c>
      <c r="L280" s="10">
        <v>1</v>
      </c>
      <c r="M280" s="11">
        <v>10500</v>
      </c>
      <c r="N280" s="11">
        <v>10500</v>
      </c>
      <c r="O280" s="11">
        <v>0.04</v>
      </c>
      <c r="P280" s="11">
        <v>0</v>
      </c>
      <c r="Q280" s="11">
        <v>10499.96</v>
      </c>
      <c r="R280" s="11">
        <v>0</v>
      </c>
      <c r="S280" s="11">
        <v>10499.96</v>
      </c>
    </row>
    <row r="281" spans="1:19" x14ac:dyDescent="0.3">
      <c r="A281" s="8" t="s">
        <v>14</v>
      </c>
      <c r="B281" s="9" t="s">
        <v>193</v>
      </c>
      <c r="C281" s="9" t="s">
        <v>54</v>
      </c>
      <c r="D281" s="9" t="s">
        <v>302</v>
      </c>
      <c r="E281" s="9"/>
      <c r="F281" s="10">
        <v>31</v>
      </c>
      <c r="G281" s="10">
        <v>0</v>
      </c>
      <c r="H281" s="10">
        <v>31</v>
      </c>
      <c r="I281" s="10">
        <v>0</v>
      </c>
      <c r="J281" s="10">
        <v>0</v>
      </c>
      <c r="K281" s="10">
        <v>0</v>
      </c>
      <c r="L281" s="10">
        <v>0</v>
      </c>
      <c r="M281" s="11">
        <v>9500</v>
      </c>
      <c r="N281" s="11">
        <v>0</v>
      </c>
      <c r="O281" s="11">
        <v>0</v>
      </c>
      <c r="P281" s="11">
        <v>0</v>
      </c>
      <c r="Q281" s="11">
        <v>917</v>
      </c>
      <c r="R281" s="11">
        <v>0</v>
      </c>
      <c r="S281" s="11">
        <v>917</v>
      </c>
    </row>
    <row r="282" spans="1:19" x14ac:dyDescent="0.3">
      <c r="A282" s="8" t="s">
        <v>14</v>
      </c>
      <c r="B282" s="9" t="s">
        <v>194</v>
      </c>
      <c r="C282" s="9" t="s">
        <v>54</v>
      </c>
      <c r="D282" s="9" t="s">
        <v>307</v>
      </c>
      <c r="E282" s="9" t="s">
        <v>56</v>
      </c>
      <c r="F282" s="10">
        <v>31</v>
      </c>
      <c r="G282" s="10">
        <v>22</v>
      </c>
      <c r="H282" s="10">
        <v>9</v>
      </c>
      <c r="I282" s="10">
        <v>0</v>
      </c>
      <c r="J282" s="10">
        <v>0</v>
      </c>
      <c r="K282" s="10">
        <v>0</v>
      </c>
      <c r="L282" s="10">
        <v>0</v>
      </c>
      <c r="M282" s="11">
        <v>9000</v>
      </c>
      <c r="N282" s="11">
        <v>6387.1</v>
      </c>
      <c r="O282" s="11">
        <v>3.05</v>
      </c>
      <c r="P282" s="11">
        <v>0</v>
      </c>
      <c r="Q282" s="11">
        <v>6384.04</v>
      </c>
      <c r="R282" s="11">
        <v>0</v>
      </c>
      <c r="S282" s="11">
        <v>6384.04</v>
      </c>
    </row>
    <row r="283" spans="1:19" x14ac:dyDescent="0.3">
      <c r="A283" s="8" t="s">
        <v>14</v>
      </c>
      <c r="B283" s="9" t="s">
        <v>195</v>
      </c>
      <c r="C283" s="9" t="s">
        <v>54</v>
      </c>
      <c r="D283" s="9" t="s">
        <v>324</v>
      </c>
      <c r="E283" s="9" t="s">
        <v>56</v>
      </c>
      <c r="F283" s="10">
        <v>31</v>
      </c>
      <c r="G283" s="10">
        <v>18</v>
      </c>
      <c r="H283" s="10">
        <v>13</v>
      </c>
      <c r="I283" s="10">
        <v>1</v>
      </c>
      <c r="J283" s="10">
        <v>3</v>
      </c>
      <c r="K283" s="10">
        <v>3</v>
      </c>
      <c r="L283" s="10">
        <v>0</v>
      </c>
      <c r="M283" s="11">
        <v>11000</v>
      </c>
      <c r="N283" s="11">
        <v>7451.61</v>
      </c>
      <c r="O283" s="11">
        <v>1</v>
      </c>
      <c r="P283" s="11">
        <v>0</v>
      </c>
      <c r="Q283" s="11">
        <v>7450.61</v>
      </c>
      <c r="R283" s="11">
        <v>0</v>
      </c>
      <c r="S283" s="11">
        <v>7450.61</v>
      </c>
    </row>
    <row r="284" spans="1:19" x14ac:dyDescent="0.3">
      <c r="A284" s="8" t="s">
        <v>14</v>
      </c>
      <c r="B284" s="9" t="s">
        <v>197</v>
      </c>
      <c r="C284" s="9" t="s">
        <v>54</v>
      </c>
      <c r="D284" s="9" t="s">
        <v>301</v>
      </c>
      <c r="E284" s="9"/>
      <c r="F284" s="10">
        <v>31</v>
      </c>
      <c r="G284" s="10">
        <v>0</v>
      </c>
      <c r="H284" s="10">
        <v>31</v>
      </c>
      <c r="I284" s="10">
        <v>0</v>
      </c>
      <c r="J284" s="10">
        <v>0</v>
      </c>
      <c r="K284" s="10">
        <v>0</v>
      </c>
      <c r="L284" s="10">
        <v>0</v>
      </c>
      <c r="M284" s="11">
        <v>12000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</row>
    <row r="285" spans="1:19" x14ac:dyDescent="0.3">
      <c r="A285" s="8" t="s">
        <v>14</v>
      </c>
      <c r="B285" s="9" t="s">
        <v>198</v>
      </c>
      <c r="C285" s="9" t="s">
        <v>54</v>
      </c>
      <c r="D285" s="9" t="s">
        <v>307</v>
      </c>
      <c r="E285" s="9" t="s">
        <v>56</v>
      </c>
      <c r="F285" s="10">
        <v>31</v>
      </c>
      <c r="G285" s="10">
        <v>31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1">
        <v>9000</v>
      </c>
      <c r="N285" s="11">
        <v>9000</v>
      </c>
      <c r="O285" s="11">
        <v>0.87</v>
      </c>
      <c r="P285" s="11">
        <v>0</v>
      </c>
      <c r="Q285" s="11">
        <v>8999.1299999999992</v>
      </c>
      <c r="R285" s="11">
        <v>0</v>
      </c>
      <c r="S285" s="11">
        <v>8999.1299999999992</v>
      </c>
    </row>
    <row r="286" spans="1:19" x14ac:dyDescent="0.3">
      <c r="A286" s="8" t="s">
        <v>14</v>
      </c>
      <c r="B286" s="9" t="s">
        <v>199</v>
      </c>
      <c r="C286" s="9" t="s">
        <v>54</v>
      </c>
      <c r="D286" s="9" t="s">
        <v>301</v>
      </c>
      <c r="E286" s="9"/>
      <c r="F286" s="10">
        <v>31</v>
      </c>
      <c r="G286" s="10">
        <v>0</v>
      </c>
      <c r="H286" s="10">
        <v>31</v>
      </c>
      <c r="I286" s="10">
        <v>0</v>
      </c>
      <c r="J286" s="10">
        <v>0</v>
      </c>
      <c r="K286" s="10">
        <v>0</v>
      </c>
      <c r="L286" s="10">
        <v>0</v>
      </c>
      <c r="M286" s="11">
        <v>10000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</row>
    <row r="287" spans="1:19" x14ac:dyDescent="0.3">
      <c r="A287" s="8" t="s">
        <v>14</v>
      </c>
      <c r="B287" s="9" t="s">
        <v>200</v>
      </c>
      <c r="C287" s="9" t="s">
        <v>54</v>
      </c>
      <c r="D287" s="9" t="s">
        <v>311</v>
      </c>
      <c r="E287" s="9"/>
      <c r="F287" s="10">
        <v>31</v>
      </c>
      <c r="G287" s="10">
        <v>0</v>
      </c>
      <c r="H287" s="10">
        <v>31</v>
      </c>
      <c r="I287" s="10">
        <v>0</v>
      </c>
      <c r="J287" s="10">
        <v>0</v>
      </c>
      <c r="K287" s="10">
        <v>0</v>
      </c>
      <c r="L287" s="10">
        <v>0</v>
      </c>
      <c r="M287" s="11">
        <v>9500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</row>
    <row r="288" spans="1:19" x14ac:dyDescent="0.3">
      <c r="A288" s="8" t="s">
        <v>14</v>
      </c>
      <c r="B288" s="9" t="s">
        <v>201</v>
      </c>
      <c r="C288" s="9" t="s">
        <v>54</v>
      </c>
      <c r="D288" s="9" t="s">
        <v>202</v>
      </c>
      <c r="E288" s="9"/>
      <c r="F288" s="10">
        <v>31</v>
      </c>
      <c r="G288" s="10">
        <v>0</v>
      </c>
      <c r="H288" s="10">
        <v>31</v>
      </c>
      <c r="I288" s="10">
        <v>0</v>
      </c>
      <c r="J288" s="10">
        <v>0</v>
      </c>
      <c r="K288" s="10">
        <v>0</v>
      </c>
      <c r="L288" s="10">
        <v>0</v>
      </c>
      <c r="M288" s="11">
        <v>15000</v>
      </c>
      <c r="N288" s="11">
        <v>0</v>
      </c>
      <c r="O288" s="11">
        <v>1.94</v>
      </c>
      <c r="P288" s="11">
        <v>0</v>
      </c>
      <c r="Q288" s="11">
        <v>-1.94</v>
      </c>
      <c r="R288" s="11">
        <v>0</v>
      </c>
      <c r="S288" s="11">
        <v>-1.94</v>
      </c>
    </row>
    <row r="289" spans="1:19" x14ac:dyDescent="0.3">
      <c r="A289" s="8" t="s">
        <v>14</v>
      </c>
      <c r="B289" s="9" t="s">
        <v>203</v>
      </c>
      <c r="C289" s="9" t="s">
        <v>54</v>
      </c>
      <c r="D289" s="9" t="s">
        <v>302</v>
      </c>
      <c r="E289" s="9" t="s">
        <v>204</v>
      </c>
      <c r="F289" s="10">
        <v>31</v>
      </c>
      <c r="G289" s="10">
        <v>18</v>
      </c>
      <c r="H289" s="10">
        <v>13</v>
      </c>
      <c r="I289" s="10">
        <v>0</v>
      </c>
      <c r="J289" s="10">
        <v>2</v>
      </c>
      <c r="K289" s="10">
        <v>2</v>
      </c>
      <c r="L289" s="10">
        <v>0</v>
      </c>
      <c r="M289" s="11">
        <v>9500</v>
      </c>
      <c r="N289" s="11">
        <v>6129.03</v>
      </c>
      <c r="O289" s="11">
        <v>0</v>
      </c>
      <c r="P289" s="11">
        <v>0</v>
      </c>
      <c r="Q289" s="11">
        <v>6129.39</v>
      </c>
      <c r="R289" s="11">
        <v>0</v>
      </c>
      <c r="S289" s="11">
        <v>6129.39</v>
      </c>
    </row>
    <row r="290" spans="1:19" x14ac:dyDescent="0.3">
      <c r="A290" s="8" t="s">
        <v>14</v>
      </c>
      <c r="B290" s="9" t="s">
        <v>205</v>
      </c>
      <c r="C290" s="9" t="s">
        <v>64</v>
      </c>
      <c r="D290" s="9" t="s">
        <v>301</v>
      </c>
      <c r="E290" s="9" t="s">
        <v>92</v>
      </c>
      <c r="F290" s="10">
        <v>31</v>
      </c>
      <c r="G290" s="10">
        <v>25</v>
      </c>
      <c r="H290" s="10">
        <v>6</v>
      </c>
      <c r="I290" s="10">
        <v>4</v>
      </c>
      <c r="J290" s="10">
        <v>8</v>
      </c>
      <c r="K290" s="10">
        <v>6</v>
      </c>
      <c r="L290" s="10">
        <v>2</v>
      </c>
      <c r="M290" s="11">
        <v>14500</v>
      </c>
      <c r="N290" s="11">
        <v>14500</v>
      </c>
      <c r="O290" s="11">
        <v>20</v>
      </c>
      <c r="P290" s="11">
        <v>0</v>
      </c>
      <c r="Q290" s="11">
        <v>14480</v>
      </c>
      <c r="R290" s="11">
        <v>0</v>
      </c>
      <c r="S290" s="11">
        <v>14480</v>
      </c>
    </row>
    <row r="291" spans="1:19" x14ac:dyDescent="0.3">
      <c r="A291" s="8" t="s">
        <v>14</v>
      </c>
      <c r="B291" s="9" t="s">
        <v>206</v>
      </c>
      <c r="C291" s="9" t="s">
        <v>64</v>
      </c>
      <c r="D291" s="9" t="s">
        <v>207</v>
      </c>
      <c r="E291" s="9" t="s">
        <v>56</v>
      </c>
      <c r="F291" s="10">
        <v>31</v>
      </c>
      <c r="G291" s="10">
        <v>27</v>
      </c>
      <c r="H291" s="10">
        <v>4</v>
      </c>
      <c r="I291" s="10">
        <v>2</v>
      </c>
      <c r="J291" s="10">
        <v>6</v>
      </c>
      <c r="K291" s="10">
        <v>4</v>
      </c>
      <c r="L291" s="10">
        <v>2</v>
      </c>
      <c r="M291" s="11">
        <v>17500</v>
      </c>
      <c r="N291" s="11">
        <v>17500</v>
      </c>
      <c r="O291" s="11">
        <v>0</v>
      </c>
      <c r="P291" s="11">
        <v>0</v>
      </c>
      <c r="Q291" s="11">
        <v>17500</v>
      </c>
      <c r="R291" s="11">
        <v>0</v>
      </c>
      <c r="S291" s="11">
        <v>17500</v>
      </c>
    </row>
    <row r="292" spans="1:19" x14ac:dyDescent="0.3">
      <c r="A292" s="8" t="s">
        <v>14</v>
      </c>
      <c r="B292" s="9" t="s">
        <v>208</v>
      </c>
      <c r="C292" s="9" t="s">
        <v>64</v>
      </c>
      <c r="D292" s="9" t="s">
        <v>310</v>
      </c>
      <c r="E292" s="9" t="s">
        <v>56</v>
      </c>
      <c r="F292" s="10">
        <v>31</v>
      </c>
      <c r="G292" s="10">
        <v>24</v>
      </c>
      <c r="H292" s="10">
        <v>7</v>
      </c>
      <c r="I292" s="10">
        <v>0</v>
      </c>
      <c r="J292" s="10">
        <v>3</v>
      </c>
      <c r="K292" s="10">
        <v>3</v>
      </c>
      <c r="L292" s="10">
        <v>0</v>
      </c>
      <c r="M292" s="11">
        <v>19000</v>
      </c>
      <c r="N292" s="11">
        <v>16548.39</v>
      </c>
      <c r="O292" s="11">
        <v>6192.96</v>
      </c>
      <c r="P292" s="11">
        <v>0</v>
      </c>
      <c r="Q292" s="11">
        <v>10355.42</v>
      </c>
      <c r="R292" s="11">
        <v>0</v>
      </c>
      <c r="S292" s="11">
        <v>10355.42</v>
      </c>
    </row>
    <row r="293" spans="1:19" x14ac:dyDescent="0.3">
      <c r="A293" s="8" t="s">
        <v>14</v>
      </c>
      <c r="B293" s="9" t="s">
        <v>209</v>
      </c>
      <c r="C293" s="9" t="s">
        <v>54</v>
      </c>
      <c r="D293" s="9" t="s">
        <v>306</v>
      </c>
      <c r="E293" s="9" t="s">
        <v>210</v>
      </c>
      <c r="F293" s="10">
        <v>31</v>
      </c>
      <c r="G293" s="10">
        <v>29</v>
      </c>
      <c r="H293" s="10">
        <v>2</v>
      </c>
      <c r="I293" s="10">
        <v>1</v>
      </c>
      <c r="J293" s="10">
        <v>5</v>
      </c>
      <c r="K293" s="10">
        <v>2</v>
      </c>
      <c r="L293" s="10">
        <v>3</v>
      </c>
      <c r="M293" s="11">
        <v>12000</v>
      </c>
      <c r="N293" s="11">
        <v>12000</v>
      </c>
      <c r="O293" s="11">
        <v>0</v>
      </c>
      <c r="P293" s="11">
        <v>0</v>
      </c>
      <c r="Q293" s="11">
        <v>12000</v>
      </c>
      <c r="R293" s="11">
        <v>0</v>
      </c>
      <c r="S293" s="11">
        <v>12000</v>
      </c>
    </row>
    <row r="294" spans="1:19" x14ac:dyDescent="0.3">
      <c r="A294" s="8" t="s">
        <v>14</v>
      </c>
      <c r="B294" s="9" t="s">
        <v>211</v>
      </c>
      <c r="C294" s="9" t="s">
        <v>54</v>
      </c>
      <c r="D294" s="9" t="s">
        <v>303</v>
      </c>
      <c r="E294" s="9" t="s">
        <v>119</v>
      </c>
      <c r="F294" s="10">
        <v>31</v>
      </c>
      <c r="G294" s="10">
        <v>6</v>
      </c>
      <c r="H294" s="10">
        <v>25</v>
      </c>
      <c r="I294" s="10">
        <v>5</v>
      </c>
      <c r="J294" s="10">
        <v>5</v>
      </c>
      <c r="K294" s="10">
        <v>5</v>
      </c>
      <c r="L294" s="10">
        <v>0</v>
      </c>
      <c r="M294" s="11">
        <v>16000</v>
      </c>
      <c r="N294" s="11">
        <v>5677.42</v>
      </c>
      <c r="O294" s="11">
        <v>0.35</v>
      </c>
      <c r="P294" s="11">
        <v>0</v>
      </c>
      <c r="Q294" s="11">
        <v>5677.06</v>
      </c>
      <c r="R294" s="11">
        <v>0</v>
      </c>
      <c r="S294" s="11">
        <v>5677.06</v>
      </c>
    </row>
    <row r="295" spans="1:19" x14ac:dyDescent="0.3">
      <c r="A295" s="8" t="s">
        <v>14</v>
      </c>
      <c r="B295" s="9" t="s">
        <v>212</v>
      </c>
      <c r="C295" s="9" t="s">
        <v>54</v>
      </c>
      <c r="D295" s="9" t="s">
        <v>323</v>
      </c>
      <c r="E295" s="9"/>
      <c r="F295" s="10">
        <v>31</v>
      </c>
      <c r="G295" s="10">
        <v>0</v>
      </c>
      <c r="H295" s="10">
        <v>31</v>
      </c>
      <c r="I295" s="10">
        <v>0</v>
      </c>
      <c r="J295" s="10">
        <v>0</v>
      </c>
      <c r="K295" s="10">
        <v>0</v>
      </c>
      <c r="L295" s="10">
        <v>0</v>
      </c>
      <c r="M295" s="11">
        <v>9500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</row>
    <row r="296" spans="1:19" x14ac:dyDescent="0.3">
      <c r="A296" s="8" t="s">
        <v>14</v>
      </c>
      <c r="B296" s="9" t="s">
        <v>213</v>
      </c>
      <c r="C296" s="9" t="s">
        <v>54</v>
      </c>
      <c r="D296" s="9" t="s">
        <v>312</v>
      </c>
      <c r="E296" s="9"/>
      <c r="F296" s="10">
        <v>31</v>
      </c>
      <c r="G296" s="10">
        <v>0</v>
      </c>
      <c r="H296" s="10">
        <v>31</v>
      </c>
      <c r="I296" s="10">
        <v>0</v>
      </c>
      <c r="J296" s="10">
        <v>0</v>
      </c>
      <c r="K296" s="10">
        <v>0</v>
      </c>
      <c r="L296" s="10">
        <v>0</v>
      </c>
      <c r="M296" s="11">
        <v>12000</v>
      </c>
      <c r="N296" s="11">
        <v>0</v>
      </c>
      <c r="O296" s="11">
        <v>0</v>
      </c>
      <c r="P296" s="11">
        <v>0</v>
      </c>
      <c r="Q296" s="11">
        <v>0.35</v>
      </c>
      <c r="R296" s="11">
        <v>0</v>
      </c>
      <c r="S296" s="11">
        <v>0.35</v>
      </c>
    </row>
    <row r="297" spans="1:19" x14ac:dyDescent="0.3">
      <c r="A297" s="8" t="s">
        <v>14</v>
      </c>
      <c r="B297" s="9" t="s">
        <v>214</v>
      </c>
      <c r="C297" s="9" t="s">
        <v>95</v>
      </c>
      <c r="D297" s="9" t="s">
        <v>303</v>
      </c>
      <c r="E297" s="9"/>
      <c r="F297" s="10">
        <v>31</v>
      </c>
      <c r="G297" s="10">
        <v>0</v>
      </c>
      <c r="H297" s="10">
        <v>31</v>
      </c>
      <c r="I297" s="10">
        <v>0</v>
      </c>
      <c r="J297" s="10">
        <v>0</v>
      </c>
      <c r="K297" s="10">
        <v>0</v>
      </c>
      <c r="L297" s="10">
        <v>0</v>
      </c>
      <c r="M297" s="11">
        <v>16000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</row>
    <row r="298" spans="1:19" x14ac:dyDescent="0.3">
      <c r="A298" s="8" t="s">
        <v>14</v>
      </c>
      <c r="B298" s="9" t="s">
        <v>215</v>
      </c>
      <c r="C298" s="9" t="s">
        <v>64</v>
      </c>
      <c r="D298" s="9" t="s">
        <v>303</v>
      </c>
      <c r="E298" s="9" t="s">
        <v>92</v>
      </c>
      <c r="F298" s="10">
        <v>31</v>
      </c>
      <c r="G298" s="10">
        <v>0</v>
      </c>
      <c r="H298" s="10">
        <v>31</v>
      </c>
      <c r="I298" s="10">
        <v>0</v>
      </c>
      <c r="J298" s="10">
        <v>0</v>
      </c>
      <c r="K298" s="10">
        <v>0</v>
      </c>
      <c r="L298" s="10">
        <v>0</v>
      </c>
      <c r="M298" s="11">
        <v>16000</v>
      </c>
      <c r="N298" s="11">
        <v>0</v>
      </c>
      <c r="O298" s="11">
        <v>0</v>
      </c>
      <c r="P298" s="11">
        <v>0</v>
      </c>
      <c r="Q298" s="11">
        <v>20682.330000000002</v>
      </c>
      <c r="R298" s="11">
        <v>0</v>
      </c>
      <c r="S298" s="11">
        <v>20682.330000000002</v>
      </c>
    </row>
    <row r="299" spans="1:19" x14ac:dyDescent="0.3">
      <c r="A299" s="8" t="s">
        <v>14</v>
      </c>
      <c r="B299" s="9" t="s">
        <v>339</v>
      </c>
      <c r="C299" s="9" t="s">
        <v>54</v>
      </c>
      <c r="D299" s="9" t="s">
        <v>302</v>
      </c>
      <c r="E299" s="9"/>
      <c r="F299" s="10">
        <v>31</v>
      </c>
      <c r="G299" s="10">
        <v>0</v>
      </c>
      <c r="H299" s="10">
        <v>31</v>
      </c>
      <c r="I299" s="10">
        <v>0</v>
      </c>
      <c r="J299" s="10">
        <v>0</v>
      </c>
      <c r="K299" s="10">
        <v>0</v>
      </c>
      <c r="L299" s="10">
        <v>0</v>
      </c>
      <c r="M299" s="11">
        <v>9500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</row>
    <row r="300" spans="1:19" x14ac:dyDescent="0.3">
      <c r="A300" s="8" t="s">
        <v>14</v>
      </c>
      <c r="B300" s="9" t="s">
        <v>217</v>
      </c>
      <c r="C300" s="9" t="s">
        <v>54</v>
      </c>
      <c r="D300" s="9" t="s">
        <v>306</v>
      </c>
      <c r="E300" s="9" t="s">
        <v>56</v>
      </c>
      <c r="F300" s="10">
        <v>31</v>
      </c>
      <c r="G300" s="10">
        <v>27</v>
      </c>
      <c r="H300" s="10">
        <v>4</v>
      </c>
      <c r="I300" s="10">
        <v>3</v>
      </c>
      <c r="J300" s="10">
        <v>7</v>
      </c>
      <c r="K300" s="10">
        <v>4</v>
      </c>
      <c r="L300" s="10">
        <v>3</v>
      </c>
      <c r="M300" s="11">
        <v>8500</v>
      </c>
      <c r="N300" s="11">
        <v>8500</v>
      </c>
      <c r="O300" s="11">
        <v>22.92</v>
      </c>
      <c r="P300" s="11">
        <v>0</v>
      </c>
      <c r="Q300" s="11">
        <v>8477.08</v>
      </c>
      <c r="R300" s="11">
        <v>0</v>
      </c>
      <c r="S300" s="11">
        <v>8477.08</v>
      </c>
    </row>
    <row r="301" spans="1:19" x14ac:dyDescent="0.3">
      <c r="A301" s="8" t="s">
        <v>14</v>
      </c>
      <c r="B301" s="9" t="s">
        <v>218</v>
      </c>
      <c r="C301" s="9" t="s">
        <v>54</v>
      </c>
      <c r="D301" s="9" t="s">
        <v>301</v>
      </c>
      <c r="E301" s="9"/>
      <c r="F301" s="10">
        <v>31</v>
      </c>
      <c r="G301" s="10">
        <v>0</v>
      </c>
      <c r="H301" s="10">
        <v>31</v>
      </c>
      <c r="I301" s="10">
        <v>0</v>
      </c>
      <c r="J301" s="10">
        <v>0</v>
      </c>
      <c r="K301" s="10">
        <v>0</v>
      </c>
      <c r="L301" s="10">
        <v>0</v>
      </c>
      <c r="M301" s="11">
        <v>11000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</row>
    <row r="302" spans="1:19" x14ac:dyDescent="0.3">
      <c r="A302" s="8" t="s">
        <v>14</v>
      </c>
      <c r="B302" s="9" t="s">
        <v>219</v>
      </c>
      <c r="C302" s="9" t="s">
        <v>95</v>
      </c>
      <c r="D302" s="9" t="s">
        <v>303</v>
      </c>
      <c r="E302" s="9"/>
      <c r="F302" s="10">
        <v>31</v>
      </c>
      <c r="G302" s="10">
        <v>0</v>
      </c>
      <c r="H302" s="10">
        <v>31</v>
      </c>
      <c r="I302" s="10">
        <v>0</v>
      </c>
      <c r="J302" s="10">
        <v>0</v>
      </c>
      <c r="K302" s="10">
        <v>0</v>
      </c>
      <c r="L302" s="10">
        <v>0</v>
      </c>
      <c r="M302" s="11">
        <v>16500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 spans="1:19" x14ac:dyDescent="0.3">
      <c r="A303" s="8" t="s">
        <v>14</v>
      </c>
      <c r="B303" s="9" t="s">
        <v>220</v>
      </c>
      <c r="C303" s="9" t="s">
        <v>54</v>
      </c>
      <c r="D303" s="9" t="s">
        <v>207</v>
      </c>
      <c r="E303" s="9"/>
      <c r="F303" s="10">
        <v>31</v>
      </c>
      <c r="G303" s="10">
        <v>0</v>
      </c>
      <c r="H303" s="10">
        <v>31</v>
      </c>
      <c r="I303" s="10">
        <v>0</v>
      </c>
      <c r="J303" s="10">
        <v>0</v>
      </c>
      <c r="K303" s="10">
        <v>0</v>
      </c>
      <c r="L303" s="10">
        <v>0</v>
      </c>
      <c r="M303" s="11">
        <v>16000</v>
      </c>
      <c r="N303" s="11">
        <v>0</v>
      </c>
      <c r="O303" s="11">
        <v>0</v>
      </c>
      <c r="P303" s="11">
        <v>0</v>
      </c>
      <c r="Q303" s="11">
        <v>1862.47</v>
      </c>
      <c r="R303" s="11">
        <v>0</v>
      </c>
      <c r="S303" s="11">
        <v>1862.47</v>
      </c>
    </row>
    <row r="304" spans="1:19" x14ac:dyDescent="0.3">
      <c r="A304" s="8" t="s">
        <v>14</v>
      </c>
      <c r="B304" s="9" t="s">
        <v>221</v>
      </c>
      <c r="C304" s="9" t="s">
        <v>54</v>
      </c>
      <c r="D304" s="9" t="s">
        <v>302</v>
      </c>
      <c r="E304" s="9"/>
      <c r="F304" s="10">
        <v>31</v>
      </c>
      <c r="G304" s="10">
        <v>0</v>
      </c>
      <c r="H304" s="10">
        <v>31</v>
      </c>
      <c r="I304" s="10">
        <v>0</v>
      </c>
      <c r="J304" s="10">
        <v>0</v>
      </c>
      <c r="K304" s="10">
        <v>0</v>
      </c>
      <c r="L304" s="10">
        <v>0</v>
      </c>
      <c r="M304" s="11">
        <v>9500</v>
      </c>
      <c r="N304" s="11">
        <v>0</v>
      </c>
      <c r="O304" s="11">
        <v>0</v>
      </c>
      <c r="P304" s="11">
        <v>0</v>
      </c>
      <c r="Q304" s="11">
        <v>8500</v>
      </c>
      <c r="R304" s="11">
        <v>0</v>
      </c>
      <c r="S304" s="11">
        <v>8500</v>
      </c>
    </row>
    <row r="305" spans="1:19" x14ac:dyDescent="0.3">
      <c r="A305" s="8" t="s">
        <v>14</v>
      </c>
      <c r="B305" s="9" t="s">
        <v>222</v>
      </c>
      <c r="C305" s="9" t="s">
        <v>95</v>
      </c>
      <c r="D305" s="9" t="s">
        <v>303</v>
      </c>
      <c r="E305" s="9"/>
      <c r="F305" s="10">
        <v>31</v>
      </c>
      <c r="G305" s="10">
        <v>0</v>
      </c>
      <c r="H305" s="10">
        <v>31</v>
      </c>
      <c r="I305" s="10">
        <v>0</v>
      </c>
      <c r="J305" s="10">
        <v>0</v>
      </c>
      <c r="K305" s="10">
        <v>0</v>
      </c>
      <c r="L305" s="10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</row>
    <row r="306" spans="1:19" x14ac:dyDescent="0.3">
      <c r="A306" s="8" t="s">
        <v>14</v>
      </c>
      <c r="B306" s="9" t="s">
        <v>223</v>
      </c>
      <c r="C306" s="9" t="s">
        <v>54</v>
      </c>
      <c r="D306" s="9" t="s">
        <v>130</v>
      </c>
      <c r="E306" s="9"/>
      <c r="F306" s="10">
        <v>31</v>
      </c>
      <c r="G306" s="10">
        <v>0</v>
      </c>
      <c r="H306" s="10">
        <v>31</v>
      </c>
      <c r="I306" s="10">
        <v>0</v>
      </c>
      <c r="J306" s="10">
        <v>0</v>
      </c>
      <c r="K306" s="10">
        <v>0</v>
      </c>
      <c r="L306" s="10">
        <v>0</v>
      </c>
      <c r="M306" s="11">
        <v>17000</v>
      </c>
      <c r="N306" s="11">
        <v>0</v>
      </c>
      <c r="O306" s="11">
        <v>3.33</v>
      </c>
      <c r="P306" s="11">
        <v>0</v>
      </c>
      <c r="Q306" s="11">
        <v>-3.33</v>
      </c>
      <c r="R306" s="11">
        <v>0</v>
      </c>
      <c r="S306" s="11">
        <v>-3.33</v>
      </c>
    </row>
    <row r="307" spans="1:19" x14ac:dyDescent="0.3">
      <c r="A307" s="8" t="s">
        <v>14</v>
      </c>
      <c r="B307" s="9" t="s">
        <v>224</v>
      </c>
      <c r="C307" s="9" t="s">
        <v>54</v>
      </c>
      <c r="D307" s="9" t="s">
        <v>306</v>
      </c>
      <c r="E307" s="9" t="s">
        <v>119</v>
      </c>
      <c r="F307" s="10">
        <v>31</v>
      </c>
      <c r="G307" s="10">
        <v>17</v>
      </c>
      <c r="H307" s="10">
        <v>14</v>
      </c>
      <c r="I307" s="10">
        <v>0</v>
      </c>
      <c r="J307" s="10">
        <v>2</v>
      </c>
      <c r="K307" s="10">
        <v>2</v>
      </c>
      <c r="L307" s="10">
        <v>0</v>
      </c>
      <c r="M307" s="11">
        <v>12500</v>
      </c>
      <c r="N307" s="11">
        <v>7661.29</v>
      </c>
      <c r="O307" s="11">
        <v>0</v>
      </c>
      <c r="P307" s="11">
        <v>0</v>
      </c>
      <c r="Q307" s="11">
        <v>9657.9599999999991</v>
      </c>
      <c r="R307" s="11">
        <v>0</v>
      </c>
      <c r="S307" s="11">
        <v>9657.9599999999991</v>
      </c>
    </row>
    <row r="308" spans="1:19" x14ac:dyDescent="0.3">
      <c r="A308" s="8" t="s">
        <v>14</v>
      </c>
      <c r="B308" s="9" t="s">
        <v>225</v>
      </c>
      <c r="C308" s="9" t="s">
        <v>64</v>
      </c>
      <c r="D308" s="9" t="s">
        <v>301</v>
      </c>
      <c r="E308" s="9" t="s">
        <v>56</v>
      </c>
      <c r="F308" s="10">
        <v>31</v>
      </c>
      <c r="G308" s="10">
        <v>22</v>
      </c>
      <c r="H308" s="10">
        <v>9</v>
      </c>
      <c r="I308" s="10">
        <v>0</v>
      </c>
      <c r="J308" s="10">
        <v>3</v>
      </c>
      <c r="K308" s="10">
        <v>3</v>
      </c>
      <c r="L308" s="10">
        <v>0</v>
      </c>
      <c r="M308" s="11">
        <v>14000</v>
      </c>
      <c r="N308" s="11">
        <v>11290.32</v>
      </c>
      <c r="O308" s="11">
        <v>0.19</v>
      </c>
      <c r="P308" s="11">
        <v>0</v>
      </c>
      <c r="Q308" s="11">
        <v>11290.13</v>
      </c>
      <c r="R308" s="11">
        <v>0</v>
      </c>
      <c r="S308" s="11">
        <v>11290.13</v>
      </c>
    </row>
    <row r="309" spans="1:19" x14ac:dyDescent="0.3">
      <c r="A309" s="8" t="s">
        <v>14</v>
      </c>
      <c r="B309" s="9" t="s">
        <v>226</v>
      </c>
      <c r="C309" s="9" t="s">
        <v>54</v>
      </c>
      <c r="D309" s="9" t="s">
        <v>307</v>
      </c>
      <c r="E309" s="9" t="s">
        <v>253</v>
      </c>
      <c r="F309" s="10">
        <v>31</v>
      </c>
      <c r="G309" s="10">
        <v>4</v>
      </c>
      <c r="H309" s="10">
        <v>27</v>
      </c>
      <c r="I309" s="10">
        <v>0</v>
      </c>
      <c r="J309" s="10">
        <v>0</v>
      </c>
      <c r="K309" s="10">
        <v>0</v>
      </c>
      <c r="L309" s="10">
        <v>0</v>
      </c>
      <c r="M309" s="11">
        <v>11850</v>
      </c>
      <c r="N309" s="11">
        <v>1529.03</v>
      </c>
      <c r="O309" s="11">
        <v>0</v>
      </c>
      <c r="P309" s="11">
        <v>0</v>
      </c>
      <c r="Q309" s="11">
        <v>1529.03</v>
      </c>
      <c r="R309" s="11">
        <v>0</v>
      </c>
      <c r="S309" s="11">
        <v>1529.03</v>
      </c>
    </row>
    <row r="310" spans="1:19" x14ac:dyDescent="0.3">
      <c r="A310" s="8" t="s">
        <v>14</v>
      </c>
      <c r="B310" s="9" t="s">
        <v>227</v>
      </c>
      <c r="C310" s="9" t="s">
        <v>64</v>
      </c>
      <c r="D310" s="9" t="s">
        <v>301</v>
      </c>
      <c r="E310" s="9" t="s">
        <v>97</v>
      </c>
      <c r="F310" s="10">
        <v>31</v>
      </c>
      <c r="G310" s="10">
        <v>31</v>
      </c>
      <c r="H310" s="10">
        <v>0</v>
      </c>
      <c r="I310" s="10">
        <v>2</v>
      </c>
      <c r="J310" s="10">
        <v>6</v>
      </c>
      <c r="K310" s="10">
        <v>0</v>
      </c>
      <c r="L310" s="10">
        <v>6</v>
      </c>
      <c r="M310" s="11">
        <v>14000</v>
      </c>
      <c r="N310" s="11">
        <v>14000</v>
      </c>
      <c r="O310" s="11">
        <v>0</v>
      </c>
      <c r="P310" s="11">
        <v>0</v>
      </c>
      <c r="Q310" s="11">
        <v>14000</v>
      </c>
      <c r="R310" s="11">
        <v>0</v>
      </c>
      <c r="S310" s="11">
        <v>14000</v>
      </c>
    </row>
    <row r="311" spans="1:19" x14ac:dyDescent="0.3">
      <c r="A311" s="8" t="s">
        <v>14</v>
      </c>
      <c r="B311" s="9" t="s">
        <v>228</v>
      </c>
      <c r="C311" s="9" t="s">
        <v>54</v>
      </c>
      <c r="D311" s="9" t="s">
        <v>307</v>
      </c>
      <c r="E311" s="9"/>
      <c r="F311" s="10">
        <v>31</v>
      </c>
      <c r="G311" s="10">
        <v>0</v>
      </c>
      <c r="H311" s="10">
        <v>31</v>
      </c>
      <c r="I311" s="10">
        <v>0</v>
      </c>
      <c r="J311" s="10">
        <v>0</v>
      </c>
      <c r="K311" s="10">
        <v>0</v>
      </c>
      <c r="L311" s="10">
        <v>0</v>
      </c>
      <c r="M311" s="11">
        <v>9000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</row>
    <row r="312" spans="1:19" x14ac:dyDescent="0.3">
      <c r="A312" s="8" t="s">
        <v>14</v>
      </c>
      <c r="B312" s="9" t="s">
        <v>229</v>
      </c>
      <c r="C312" s="9" t="s">
        <v>54</v>
      </c>
      <c r="D312" s="9" t="s">
        <v>302</v>
      </c>
      <c r="E312" s="9"/>
      <c r="F312" s="10">
        <v>31</v>
      </c>
      <c r="G312" s="10">
        <v>0</v>
      </c>
      <c r="H312" s="10">
        <v>31</v>
      </c>
      <c r="I312" s="10">
        <v>0</v>
      </c>
      <c r="J312" s="10">
        <v>0</v>
      </c>
      <c r="K312" s="10">
        <v>0</v>
      </c>
      <c r="L312" s="10">
        <v>0</v>
      </c>
      <c r="M312" s="11">
        <v>9500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</row>
    <row r="313" spans="1:19" x14ac:dyDescent="0.3">
      <c r="A313" s="8" t="s">
        <v>14</v>
      </c>
      <c r="B313" s="9" t="s">
        <v>230</v>
      </c>
      <c r="C313" s="9" t="s">
        <v>54</v>
      </c>
      <c r="D313" s="9" t="s">
        <v>303</v>
      </c>
      <c r="E313" s="9" t="s">
        <v>84</v>
      </c>
      <c r="F313" s="10">
        <v>31</v>
      </c>
      <c r="G313" s="10">
        <v>28</v>
      </c>
      <c r="H313" s="10">
        <v>3</v>
      </c>
      <c r="I313" s="10">
        <v>1</v>
      </c>
      <c r="J313" s="10">
        <v>5</v>
      </c>
      <c r="K313" s="10">
        <v>3</v>
      </c>
      <c r="L313" s="10">
        <v>2</v>
      </c>
      <c r="M313" s="11">
        <v>16000</v>
      </c>
      <c r="N313" s="11">
        <v>16000</v>
      </c>
      <c r="O313" s="11">
        <v>0</v>
      </c>
      <c r="P313" s="11">
        <v>0</v>
      </c>
      <c r="Q313" s="11">
        <v>16061.77</v>
      </c>
      <c r="R313" s="11">
        <v>0</v>
      </c>
      <c r="S313" s="11">
        <v>16061.77</v>
      </c>
    </row>
    <row r="314" spans="1:19" x14ac:dyDescent="0.3">
      <c r="A314" s="8" t="s">
        <v>14</v>
      </c>
      <c r="B314" s="9" t="s">
        <v>231</v>
      </c>
      <c r="C314" s="9" t="s">
        <v>64</v>
      </c>
      <c r="D314" s="9" t="s">
        <v>306</v>
      </c>
      <c r="E314" s="9" t="s">
        <v>92</v>
      </c>
      <c r="F314" s="10">
        <v>31</v>
      </c>
      <c r="G314" s="10">
        <v>29</v>
      </c>
      <c r="H314" s="10">
        <v>2</v>
      </c>
      <c r="I314" s="10">
        <v>2</v>
      </c>
      <c r="J314" s="10">
        <v>6</v>
      </c>
      <c r="K314" s="10">
        <v>2</v>
      </c>
      <c r="L314" s="10">
        <v>4</v>
      </c>
      <c r="M314" s="11">
        <v>12500</v>
      </c>
      <c r="N314" s="11">
        <v>12500</v>
      </c>
      <c r="O314" s="11">
        <v>0.47</v>
      </c>
      <c r="P314" s="11">
        <v>0</v>
      </c>
      <c r="Q314" s="11">
        <v>12499.53</v>
      </c>
      <c r="R314" s="11">
        <v>0</v>
      </c>
      <c r="S314" s="11">
        <v>12499.53</v>
      </c>
    </row>
    <row r="315" spans="1:19" x14ac:dyDescent="0.3">
      <c r="A315" s="8" t="s">
        <v>14</v>
      </c>
      <c r="B315" s="9" t="s">
        <v>232</v>
      </c>
      <c r="C315" s="9" t="s">
        <v>54</v>
      </c>
      <c r="D315" s="9" t="s">
        <v>312</v>
      </c>
      <c r="E315" s="9"/>
      <c r="F315" s="10">
        <v>31</v>
      </c>
      <c r="G315" s="10">
        <v>0</v>
      </c>
      <c r="H315" s="10">
        <v>31</v>
      </c>
      <c r="I315" s="10">
        <v>0</v>
      </c>
      <c r="J315" s="10">
        <v>0</v>
      </c>
      <c r="K315" s="10">
        <v>0</v>
      </c>
      <c r="L315" s="10">
        <v>0</v>
      </c>
      <c r="M315" s="11">
        <v>15000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</row>
    <row r="316" spans="1:19" x14ac:dyDescent="0.3">
      <c r="A316" s="8" t="s">
        <v>14</v>
      </c>
      <c r="B316" s="9" t="s">
        <v>233</v>
      </c>
      <c r="C316" s="9" t="s">
        <v>64</v>
      </c>
      <c r="D316" s="9" t="s">
        <v>301</v>
      </c>
      <c r="E316" s="9" t="s">
        <v>97</v>
      </c>
      <c r="F316" s="10">
        <v>31</v>
      </c>
      <c r="G316" s="10">
        <v>31</v>
      </c>
      <c r="H316" s="10">
        <v>0</v>
      </c>
      <c r="I316" s="10">
        <v>13</v>
      </c>
      <c r="J316" s="10">
        <v>17</v>
      </c>
      <c r="K316" s="10">
        <v>0</v>
      </c>
      <c r="L316" s="10">
        <v>17</v>
      </c>
      <c r="M316" s="11">
        <v>15500</v>
      </c>
      <c r="N316" s="11">
        <v>15500</v>
      </c>
      <c r="O316" s="11">
        <v>4500</v>
      </c>
      <c r="P316" s="11">
        <v>0</v>
      </c>
      <c r="Q316" s="11">
        <v>11000</v>
      </c>
      <c r="R316" s="11">
        <v>0</v>
      </c>
      <c r="S316" s="11">
        <v>11000</v>
      </c>
    </row>
    <row r="317" spans="1:19" x14ac:dyDescent="0.3">
      <c r="A317" s="8" t="s">
        <v>14</v>
      </c>
      <c r="B317" s="9" t="s">
        <v>234</v>
      </c>
      <c r="C317" s="9" t="s">
        <v>54</v>
      </c>
      <c r="D317" s="9" t="s">
        <v>316</v>
      </c>
      <c r="E317" s="9" t="s">
        <v>92</v>
      </c>
      <c r="F317" s="10">
        <v>31</v>
      </c>
      <c r="G317" s="10">
        <v>24</v>
      </c>
      <c r="H317" s="10">
        <v>7</v>
      </c>
      <c r="I317" s="10">
        <v>2</v>
      </c>
      <c r="J317" s="10">
        <v>5</v>
      </c>
      <c r="K317" s="10">
        <v>5</v>
      </c>
      <c r="L317" s="10">
        <v>0</v>
      </c>
      <c r="M317" s="11">
        <v>17000</v>
      </c>
      <c r="N317" s="11">
        <v>15903.23</v>
      </c>
      <c r="O317" s="11">
        <v>0</v>
      </c>
      <c r="P317" s="11">
        <v>0</v>
      </c>
      <c r="Q317" s="11">
        <v>15903.23</v>
      </c>
      <c r="R317" s="11">
        <v>0</v>
      </c>
      <c r="S317" s="11">
        <v>15903.23</v>
      </c>
    </row>
    <row r="318" spans="1:19" x14ac:dyDescent="0.3">
      <c r="A318" s="8" t="s">
        <v>14</v>
      </c>
      <c r="B318" s="9" t="s">
        <v>235</v>
      </c>
      <c r="C318" s="9" t="s">
        <v>64</v>
      </c>
      <c r="D318" s="9" t="s">
        <v>301</v>
      </c>
      <c r="E318" s="9" t="s">
        <v>204</v>
      </c>
      <c r="F318" s="10">
        <v>31</v>
      </c>
      <c r="G318" s="10">
        <v>27</v>
      </c>
      <c r="H318" s="10">
        <v>4</v>
      </c>
      <c r="I318" s="10">
        <v>0</v>
      </c>
      <c r="J318" s="10">
        <v>4</v>
      </c>
      <c r="K318" s="10">
        <v>4</v>
      </c>
      <c r="L318" s="10">
        <v>0</v>
      </c>
      <c r="M318" s="11">
        <v>15500</v>
      </c>
      <c r="N318" s="11">
        <v>15500</v>
      </c>
      <c r="O318" s="11">
        <v>0</v>
      </c>
      <c r="P318" s="11">
        <v>0</v>
      </c>
      <c r="Q318" s="11">
        <v>29153.33</v>
      </c>
      <c r="R318" s="11">
        <v>0</v>
      </c>
      <c r="S318" s="11">
        <v>29153.33</v>
      </c>
    </row>
    <row r="319" spans="1:19" x14ac:dyDescent="0.3">
      <c r="A319" s="8" t="s">
        <v>14</v>
      </c>
      <c r="B319" s="9" t="s">
        <v>236</v>
      </c>
      <c r="C319" s="9" t="s">
        <v>54</v>
      </c>
      <c r="D319" s="9" t="s">
        <v>303</v>
      </c>
      <c r="E319" s="9"/>
      <c r="F319" s="10">
        <v>31</v>
      </c>
      <c r="G319" s="10">
        <v>0</v>
      </c>
      <c r="H319" s="10">
        <v>31</v>
      </c>
      <c r="I319" s="10">
        <v>0</v>
      </c>
      <c r="J319" s="10">
        <v>0</v>
      </c>
      <c r="K319" s="10">
        <v>0</v>
      </c>
      <c r="L319" s="10">
        <v>0</v>
      </c>
      <c r="M319" s="11">
        <v>16000</v>
      </c>
      <c r="N319" s="11">
        <v>0</v>
      </c>
      <c r="O319" s="11">
        <v>0</v>
      </c>
      <c r="P319" s="11">
        <v>0</v>
      </c>
      <c r="Q319" s="11">
        <v>0.47</v>
      </c>
      <c r="R319" s="11">
        <v>0</v>
      </c>
      <c r="S319" s="11">
        <v>0.47</v>
      </c>
    </row>
    <row r="320" spans="1:19" x14ac:dyDescent="0.3">
      <c r="A320" s="8" t="s">
        <v>14</v>
      </c>
      <c r="B320" s="9" t="s">
        <v>237</v>
      </c>
      <c r="C320" s="9" t="s">
        <v>54</v>
      </c>
      <c r="D320" s="9" t="s">
        <v>307</v>
      </c>
      <c r="E320" s="9"/>
      <c r="F320" s="10">
        <v>31</v>
      </c>
      <c r="G320" s="10">
        <v>0</v>
      </c>
      <c r="H320" s="10">
        <v>31</v>
      </c>
      <c r="I320" s="10">
        <v>0</v>
      </c>
      <c r="J320" s="10">
        <v>0</v>
      </c>
      <c r="K320" s="10">
        <v>0</v>
      </c>
      <c r="L320" s="10">
        <v>0</v>
      </c>
      <c r="M320" s="11">
        <v>9000</v>
      </c>
      <c r="N320" s="11">
        <v>0</v>
      </c>
      <c r="O320" s="11">
        <v>0</v>
      </c>
      <c r="P320" s="11">
        <v>0</v>
      </c>
      <c r="Q320" s="11">
        <v>65</v>
      </c>
      <c r="R320" s="11">
        <v>0</v>
      </c>
      <c r="S320" s="11">
        <v>65</v>
      </c>
    </row>
    <row r="321" spans="1:19" x14ac:dyDescent="0.3">
      <c r="A321" s="8" t="s">
        <v>14</v>
      </c>
      <c r="B321" s="9" t="s">
        <v>238</v>
      </c>
      <c r="C321" s="9" t="s">
        <v>54</v>
      </c>
      <c r="D321" s="9" t="s">
        <v>303</v>
      </c>
      <c r="E321" s="9"/>
      <c r="F321" s="10">
        <v>31</v>
      </c>
      <c r="G321" s="10">
        <v>0</v>
      </c>
      <c r="H321" s="10">
        <v>31</v>
      </c>
      <c r="I321" s="10">
        <v>0</v>
      </c>
      <c r="J321" s="10">
        <v>0</v>
      </c>
      <c r="K321" s="10">
        <v>0</v>
      </c>
      <c r="L321" s="10">
        <v>0</v>
      </c>
      <c r="M321" s="11">
        <v>16000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</row>
    <row r="322" spans="1:19" x14ac:dyDescent="0.3">
      <c r="A322" s="8" t="s">
        <v>14</v>
      </c>
      <c r="B322" s="9" t="s">
        <v>239</v>
      </c>
      <c r="C322" s="9" t="s">
        <v>64</v>
      </c>
      <c r="D322" s="9" t="s">
        <v>303</v>
      </c>
      <c r="E322" s="9" t="s">
        <v>240</v>
      </c>
      <c r="F322" s="10">
        <v>31</v>
      </c>
      <c r="G322" s="10">
        <v>30</v>
      </c>
      <c r="H322" s="10">
        <v>1</v>
      </c>
      <c r="I322" s="10">
        <v>3</v>
      </c>
      <c r="J322" s="10">
        <v>7</v>
      </c>
      <c r="K322" s="10">
        <v>1</v>
      </c>
      <c r="L322" s="10">
        <v>6</v>
      </c>
      <c r="M322" s="11">
        <v>16000</v>
      </c>
      <c r="N322" s="11">
        <v>16000</v>
      </c>
      <c r="O322" s="11">
        <v>13.55</v>
      </c>
      <c r="P322" s="11">
        <v>0</v>
      </c>
      <c r="Q322" s="11">
        <v>15986.45</v>
      </c>
      <c r="R322" s="11">
        <v>0</v>
      </c>
      <c r="S322" s="11">
        <v>15986.45</v>
      </c>
    </row>
    <row r="323" spans="1:19" x14ac:dyDescent="0.3">
      <c r="A323" s="8" t="s">
        <v>14</v>
      </c>
      <c r="B323" s="9" t="s">
        <v>241</v>
      </c>
      <c r="C323" s="9" t="s">
        <v>64</v>
      </c>
      <c r="D323" s="9" t="s">
        <v>303</v>
      </c>
      <c r="E323" s="9" t="s">
        <v>242</v>
      </c>
      <c r="F323" s="10">
        <v>31</v>
      </c>
      <c r="G323" s="10">
        <v>29</v>
      </c>
      <c r="H323" s="10">
        <v>2</v>
      </c>
      <c r="I323" s="10">
        <v>2</v>
      </c>
      <c r="J323" s="10">
        <v>6</v>
      </c>
      <c r="K323" s="10">
        <v>2</v>
      </c>
      <c r="L323" s="10">
        <v>4</v>
      </c>
      <c r="M323" s="11">
        <v>16000</v>
      </c>
      <c r="N323" s="11">
        <v>16000</v>
      </c>
      <c r="O323" s="11">
        <v>36.81</v>
      </c>
      <c r="P323" s="11">
        <v>0</v>
      </c>
      <c r="Q323" s="11">
        <v>15963.19</v>
      </c>
      <c r="R323" s="11">
        <v>0</v>
      </c>
      <c r="S323" s="11">
        <v>15963.19</v>
      </c>
    </row>
    <row r="324" spans="1:19" x14ac:dyDescent="0.3">
      <c r="A324" s="8" t="s">
        <v>14</v>
      </c>
      <c r="B324" s="9" t="s">
        <v>243</v>
      </c>
      <c r="C324" s="9" t="s">
        <v>54</v>
      </c>
      <c r="D324" s="9" t="s">
        <v>323</v>
      </c>
      <c r="E324" s="9"/>
      <c r="F324" s="10">
        <v>31</v>
      </c>
      <c r="G324" s="10">
        <v>0</v>
      </c>
      <c r="H324" s="10">
        <v>31</v>
      </c>
      <c r="I324" s="10">
        <v>0</v>
      </c>
      <c r="J324" s="10">
        <v>0</v>
      </c>
      <c r="K324" s="10">
        <v>0</v>
      </c>
      <c r="L324" s="10">
        <v>0</v>
      </c>
      <c r="M324" s="11">
        <v>9500</v>
      </c>
      <c r="N324" s="11">
        <v>0</v>
      </c>
      <c r="O324" s="11">
        <v>0</v>
      </c>
      <c r="P324" s="11">
        <v>0</v>
      </c>
      <c r="Q324" s="11">
        <v>4936</v>
      </c>
      <c r="R324" s="11">
        <v>0</v>
      </c>
      <c r="S324" s="11">
        <v>4936</v>
      </c>
    </row>
    <row r="325" spans="1:19" x14ac:dyDescent="0.3">
      <c r="A325" s="8" t="s">
        <v>14</v>
      </c>
      <c r="B325" s="9" t="s">
        <v>244</v>
      </c>
      <c r="C325" s="9" t="s">
        <v>54</v>
      </c>
      <c r="D325" s="9" t="s">
        <v>325</v>
      </c>
      <c r="E325" s="9"/>
      <c r="F325" s="10">
        <v>31</v>
      </c>
      <c r="G325" s="10">
        <v>0</v>
      </c>
      <c r="H325" s="10">
        <v>31</v>
      </c>
      <c r="I325" s="10">
        <v>0</v>
      </c>
      <c r="J325" s="10">
        <v>0</v>
      </c>
      <c r="K325" s="10">
        <v>0</v>
      </c>
      <c r="L325" s="10">
        <v>0</v>
      </c>
      <c r="M325" s="11">
        <v>9000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</row>
    <row r="326" spans="1:19" x14ac:dyDescent="0.3">
      <c r="A326" s="8" t="s">
        <v>14</v>
      </c>
      <c r="B326" s="9" t="s">
        <v>245</v>
      </c>
      <c r="C326" s="9" t="s">
        <v>64</v>
      </c>
      <c r="D326" s="9" t="s">
        <v>316</v>
      </c>
      <c r="E326" s="9" t="s">
        <v>92</v>
      </c>
      <c r="F326" s="10">
        <v>31</v>
      </c>
      <c r="G326" s="10">
        <v>30</v>
      </c>
      <c r="H326" s="10">
        <v>1</v>
      </c>
      <c r="I326" s="10">
        <v>3</v>
      </c>
      <c r="J326" s="10">
        <v>7</v>
      </c>
      <c r="K326" s="10">
        <v>1</v>
      </c>
      <c r="L326" s="10">
        <v>6</v>
      </c>
      <c r="M326" s="11">
        <v>17500</v>
      </c>
      <c r="N326" s="11">
        <v>17500</v>
      </c>
      <c r="O326" s="11">
        <v>0</v>
      </c>
      <c r="P326" s="11">
        <v>0</v>
      </c>
      <c r="Q326" s="11">
        <v>17500</v>
      </c>
      <c r="R326" s="11">
        <v>0</v>
      </c>
      <c r="S326" s="11">
        <v>17500</v>
      </c>
    </row>
    <row r="327" spans="1:19" x14ac:dyDescent="0.3">
      <c r="A327" s="8" t="s">
        <v>14</v>
      </c>
      <c r="B327" s="9" t="s">
        <v>246</v>
      </c>
      <c r="C327" s="9" t="s">
        <v>54</v>
      </c>
      <c r="D327" s="9" t="s">
        <v>301</v>
      </c>
      <c r="E327" s="9" t="s">
        <v>56</v>
      </c>
      <c r="F327" s="10">
        <v>31</v>
      </c>
      <c r="G327" s="10">
        <v>31</v>
      </c>
      <c r="H327" s="10">
        <v>0</v>
      </c>
      <c r="I327" s="10">
        <v>11</v>
      </c>
      <c r="J327" s="10">
        <v>15</v>
      </c>
      <c r="K327" s="10">
        <v>0</v>
      </c>
      <c r="L327" s="10">
        <v>15</v>
      </c>
      <c r="M327" s="11">
        <v>10000</v>
      </c>
      <c r="N327" s="11">
        <v>10000</v>
      </c>
      <c r="O327" s="11">
        <v>0</v>
      </c>
      <c r="P327" s="11">
        <v>0</v>
      </c>
      <c r="Q327" s="11">
        <v>10000</v>
      </c>
      <c r="R327" s="11">
        <v>0</v>
      </c>
      <c r="S327" s="11">
        <v>10000</v>
      </c>
    </row>
    <row r="328" spans="1:19" x14ac:dyDescent="0.3">
      <c r="A328" s="8" t="s">
        <v>14</v>
      </c>
      <c r="B328" s="9" t="s">
        <v>247</v>
      </c>
      <c r="C328" s="9" t="s">
        <v>54</v>
      </c>
      <c r="D328" s="9" t="s">
        <v>305</v>
      </c>
      <c r="E328" s="9"/>
      <c r="F328" s="10">
        <v>31</v>
      </c>
      <c r="G328" s="10">
        <v>0</v>
      </c>
      <c r="H328" s="10">
        <v>31</v>
      </c>
      <c r="I328" s="10">
        <v>0</v>
      </c>
      <c r="J328" s="10">
        <v>0</v>
      </c>
      <c r="K328" s="10">
        <v>0</v>
      </c>
      <c r="L328" s="10">
        <v>0</v>
      </c>
      <c r="M328" s="11">
        <v>9500</v>
      </c>
      <c r="N328" s="11">
        <v>0</v>
      </c>
      <c r="O328" s="11">
        <v>0</v>
      </c>
      <c r="P328" s="11">
        <v>0</v>
      </c>
      <c r="Q328" s="11">
        <v>4387.1000000000004</v>
      </c>
      <c r="R328" s="11">
        <v>0</v>
      </c>
      <c r="S328" s="11">
        <v>4387.1000000000004</v>
      </c>
    </row>
    <row r="329" spans="1:19" x14ac:dyDescent="0.3">
      <c r="A329" s="8" t="s">
        <v>14</v>
      </c>
      <c r="B329" s="9" t="s">
        <v>248</v>
      </c>
      <c r="C329" s="9" t="s">
        <v>54</v>
      </c>
      <c r="D329" s="9" t="s">
        <v>305</v>
      </c>
      <c r="E329" s="9"/>
      <c r="F329" s="10">
        <v>31</v>
      </c>
      <c r="G329" s="10">
        <v>0</v>
      </c>
      <c r="H329" s="10">
        <v>31</v>
      </c>
      <c r="I329" s="10">
        <v>0</v>
      </c>
      <c r="J329" s="10">
        <v>0</v>
      </c>
      <c r="K329" s="10">
        <v>0</v>
      </c>
      <c r="L329" s="10">
        <v>0</v>
      </c>
      <c r="M329" s="11">
        <v>9500</v>
      </c>
      <c r="N329" s="11">
        <v>0</v>
      </c>
      <c r="O329" s="11">
        <v>0</v>
      </c>
      <c r="P329" s="11">
        <v>0</v>
      </c>
      <c r="Q329" s="11">
        <v>0.62</v>
      </c>
      <c r="R329" s="11">
        <v>0</v>
      </c>
      <c r="S329" s="11">
        <v>0.62</v>
      </c>
    </row>
    <row r="330" spans="1:19" x14ac:dyDescent="0.3">
      <c r="A330" s="8" t="s">
        <v>14</v>
      </c>
      <c r="B330" s="9" t="s">
        <v>249</v>
      </c>
      <c r="C330" s="9" t="s">
        <v>54</v>
      </c>
      <c r="D330" s="9" t="s">
        <v>326</v>
      </c>
      <c r="E330" s="9" t="s">
        <v>56</v>
      </c>
      <c r="F330" s="10">
        <v>31</v>
      </c>
      <c r="G330" s="10">
        <v>27</v>
      </c>
      <c r="H330" s="10">
        <v>4</v>
      </c>
      <c r="I330" s="10">
        <v>0</v>
      </c>
      <c r="J330" s="10">
        <v>4</v>
      </c>
      <c r="K330" s="10">
        <v>4</v>
      </c>
      <c r="L330" s="10">
        <v>0</v>
      </c>
      <c r="M330" s="11">
        <v>23000</v>
      </c>
      <c r="N330" s="11">
        <v>23000</v>
      </c>
      <c r="O330" s="11">
        <v>8467</v>
      </c>
      <c r="P330" s="11">
        <v>0</v>
      </c>
      <c r="Q330" s="11">
        <v>14533</v>
      </c>
      <c r="R330" s="11">
        <v>0</v>
      </c>
      <c r="S330" s="11">
        <v>14533</v>
      </c>
    </row>
    <row r="331" spans="1:19" x14ac:dyDescent="0.3">
      <c r="A331" s="8" t="s">
        <v>14</v>
      </c>
      <c r="B331" s="9" t="s">
        <v>251</v>
      </c>
      <c r="C331" s="9" t="s">
        <v>54</v>
      </c>
      <c r="D331" s="9" t="s">
        <v>301</v>
      </c>
      <c r="E331" s="9"/>
      <c r="F331" s="10">
        <v>31</v>
      </c>
      <c r="G331" s="10">
        <v>0</v>
      </c>
      <c r="H331" s="10">
        <v>31</v>
      </c>
      <c r="I331" s="10">
        <v>0</v>
      </c>
      <c r="J331" s="10">
        <v>0</v>
      </c>
      <c r="K331" s="10">
        <v>0</v>
      </c>
      <c r="L331" s="10">
        <v>0</v>
      </c>
      <c r="M331" s="11">
        <v>10000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</row>
    <row r="332" spans="1:19" x14ac:dyDescent="0.3">
      <c r="A332" s="8" t="s">
        <v>14</v>
      </c>
      <c r="B332" s="9" t="s">
        <v>252</v>
      </c>
      <c r="C332" s="9" t="s">
        <v>54</v>
      </c>
      <c r="D332" s="9" t="s">
        <v>301</v>
      </c>
      <c r="E332" s="9" t="s">
        <v>253</v>
      </c>
      <c r="F332" s="10">
        <v>31</v>
      </c>
      <c r="G332" s="10">
        <v>31</v>
      </c>
      <c r="H332" s="10">
        <v>0</v>
      </c>
      <c r="I332" s="10">
        <v>14</v>
      </c>
      <c r="J332" s="10">
        <v>18</v>
      </c>
      <c r="K332" s="10">
        <v>0</v>
      </c>
      <c r="L332" s="10">
        <v>18</v>
      </c>
      <c r="M332" s="11">
        <v>10000</v>
      </c>
      <c r="N332" s="11">
        <v>10000</v>
      </c>
      <c r="O332" s="11">
        <v>0</v>
      </c>
      <c r="P332" s="11">
        <v>0</v>
      </c>
      <c r="Q332" s="11">
        <v>10000</v>
      </c>
      <c r="R332" s="11">
        <v>0</v>
      </c>
      <c r="S332" s="11">
        <v>10000</v>
      </c>
    </row>
    <row r="333" spans="1:19" x14ac:dyDescent="0.3">
      <c r="A333" s="8" t="s">
        <v>14</v>
      </c>
      <c r="B333" s="9" t="s">
        <v>254</v>
      </c>
      <c r="C333" s="9" t="s">
        <v>54</v>
      </c>
      <c r="D333" s="9" t="s">
        <v>277</v>
      </c>
      <c r="E333" s="9"/>
      <c r="F333" s="10">
        <v>31</v>
      </c>
      <c r="G333" s="10">
        <v>0</v>
      </c>
      <c r="H333" s="10">
        <v>31</v>
      </c>
      <c r="I333" s="10">
        <v>0</v>
      </c>
      <c r="J333" s="10">
        <v>0</v>
      </c>
      <c r="K333" s="10">
        <v>0</v>
      </c>
      <c r="L333" s="10">
        <v>0</v>
      </c>
      <c r="M333" s="11">
        <v>9500</v>
      </c>
      <c r="N333" s="11">
        <v>0</v>
      </c>
      <c r="O333" s="11">
        <v>0</v>
      </c>
      <c r="P333" s="11">
        <v>0</v>
      </c>
      <c r="Q333" s="11">
        <v>842.37</v>
      </c>
      <c r="R333" s="11">
        <v>0</v>
      </c>
      <c r="S333" s="11">
        <v>842.37</v>
      </c>
    </row>
    <row r="334" spans="1:19" x14ac:dyDescent="0.3">
      <c r="A334" s="8" t="s">
        <v>14</v>
      </c>
      <c r="B334" s="9" t="s">
        <v>256</v>
      </c>
      <c r="C334" s="9" t="s">
        <v>54</v>
      </c>
      <c r="D334" s="9" t="s">
        <v>317</v>
      </c>
      <c r="E334" s="9"/>
      <c r="F334" s="10">
        <v>31</v>
      </c>
      <c r="G334" s="10">
        <v>0</v>
      </c>
      <c r="H334" s="10">
        <v>31</v>
      </c>
      <c r="I334" s="10">
        <v>0</v>
      </c>
      <c r="J334" s="10">
        <v>0</v>
      </c>
      <c r="K334" s="10">
        <v>0</v>
      </c>
      <c r="L334" s="10">
        <v>0</v>
      </c>
      <c r="M334" s="11">
        <v>10000</v>
      </c>
      <c r="N334" s="11">
        <v>0</v>
      </c>
      <c r="O334" s="11">
        <v>0</v>
      </c>
      <c r="P334" s="11">
        <v>0</v>
      </c>
      <c r="Q334" s="11">
        <v>0.13</v>
      </c>
      <c r="R334" s="11">
        <v>0</v>
      </c>
      <c r="S334" s="11">
        <v>0.13</v>
      </c>
    </row>
    <row r="335" spans="1:19" x14ac:dyDescent="0.3">
      <c r="A335" s="8" t="s">
        <v>14</v>
      </c>
      <c r="B335" s="9" t="s">
        <v>257</v>
      </c>
      <c r="C335" s="9" t="s">
        <v>54</v>
      </c>
      <c r="D335" s="9" t="s">
        <v>310</v>
      </c>
      <c r="E335" s="9" t="s">
        <v>327</v>
      </c>
      <c r="F335" s="10">
        <v>31</v>
      </c>
      <c r="G335" s="10">
        <v>31</v>
      </c>
      <c r="H335" s="10">
        <v>0</v>
      </c>
      <c r="I335" s="10">
        <v>0</v>
      </c>
      <c r="J335" s="10">
        <v>4</v>
      </c>
      <c r="K335" s="10">
        <v>0</v>
      </c>
      <c r="L335" s="10">
        <v>4</v>
      </c>
      <c r="M335" s="11">
        <v>19000</v>
      </c>
      <c r="N335" s="11">
        <v>19000</v>
      </c>
      <c r="O335" s="11">
        <v>0</v>
      </c>
      <c r="P335" s="11">
        <v>0</v>
      </c>
      <c r="Q335" s="11">
        <v>19000.16</v>
      </c>
      <c r="R335" s="11">
        <v>0</v>
      </c>
      <c r="S335" s="11">
        <v>19000.16</v>
      </c>
    </row>
    <row r="336" spans="1:19" x14ac:dyDescent="0.3">
      <c r="A336" s="8" t="s">
        <v>14</v>
      </c>
      <c r="B336" s="9" t="s">
        <v>258</v>
      </c>
      <c r="C336" s="9" t="s">
        <v>54</v>
      </c>
      <c r="D336" s="9" t="s">
        <v>302</v>
      </c>
      <c r="E336" s="9" t="s">
        <v>56</v>
      </c>
      <c r="F336" s="10">
        <v>31</v>
      </c>
      <c r="G336" s="10">
        <v>27</v>
      </c>
      <c r="H336" s="10">
        <v>4</v>
      </c>
      <c r="I336" s="10">
        <v>3</v>
      </c>
      <c r="J336" s="10">
        <v>7</v>
      </c>
      <c r="K336" s="10">
        <v>4</v>
      </c>
      <c r="L336" s="10">
        <v>3</v>
      </c>
      <c r="M336" s="11">
        <v>9500</v>
      </c>
      <c r="N336" s="11">
        <v>9500</v>
      </c>
      <c r="O336" s="11">
        <v>0.02</v>
      </c>
      <c r="P336" s="11">
        <v>0</v>
      </c>
      <c r="Q336" s="11">
        <v>9499.98</v>
      </c>
      <c r="R336" s="11">
        <v>0</v>
      </c>
      <c r="S336" s="11">
        <v>9499.98</v>
      </c>
    </row>
    <row r="337" spans="1:19" x14ac:dyDescent="0.3">
      <c r="A337" s="8" t="s">
        <v>14</v>
      </c>
      <c r="B337" s="9" t="s">
        <v>259</v>
      </c>
      <c r="C337" s="9" t="s">
        <v>54</v>
      </c>
      <c r="D337" s="9"/>
      <c r="E337" s="9"/>
      <c r="F337" s="10">
        <v>31</v>
      </c>
      <c r="G337" s="10">
        <v>0</v>
      </c>
      <c r="H337" s="10">
        <v>31</v>
      </c>
      <c r="I337" s="10">
        <v>0</v>
      </c>
      <c r="J337" s="10">
        <v>0</v>
      </c>
      <c r="K337" s="10">
        <v>0</v>
      </c>
      <c r="L337" s="10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</row>
    <row r="338" spans="1:19" x14ac:dyDescent="0.3">
      <c r="A338" s="8" t="s">
        <v>14</v>
      </c>
      <c r="B338" s="9" t="s">
        <v>260</v>
      </c>
      <c r="C338" s="9" t="s">
        <v>54</v>
      </c>
      <c r="D338" s="9" t="s">
        <v>307</v>
      </c>
      <c r="E338" s="9" t="s">
        <v>56</v>
      </c>
      <c r="F338" s="10">
        <v>31</v>
      </c>
      <c r="G338" s="10">
        <v>30</v>
      </c>
      <c r="H338" s="10">
        <v>1</v>
      </c>
      <c r="I338" s="10">
        <v>0</v>
      </c>
      <c r="J338" s="10">
        <v>0</v>
      </c>
      <c r="K338" s="10">
        <v>0</v>
      </c>
      <c r="L338" s="10">
        <v>0</v>
      </c>
      <c r="M338" s="11">
        <v>9000</v>
      </c>
      <c r="N338" s="11">
        <v>8709.68</v>
      </c>
      <c r="O338" s="11">
        <v>11.48</v>
      </c>
      <c r="P338" s="11">
        <v>0</v>
      </c>
      <c r="Q338" s="11">
        <v>8698.2000000000007</v>
      </c>
      <c r="R338" s="11">
        <v>0</v>
      </c>
      <c r="S338" s="11">
        <v>8698.2000000000007</v>
      </c>
    </row>
    <row r="339" spans="1:19" x14ac:dyDescent="0.3">
      <c r="A339" s="8" t="s">
        <v>14</v>
      </c>
      <c r="B339" s="9" t="s">
        <v>261</v>
      </c>
      <c r="C339" s="9" t="s">
        <v>54</v>
      </c>
      <c r="D339" s="9" t="s">
        <v>301</v>
      </c>
      <c r="E339" s="9" t="s">
        <v>56</v>
      </c>
      <c r="F339" s="10">
        <v>31</v>
      </c>
      <c r="G339" s="10">
        <v>24</v>
      </c>
      <c r="H339" s="10">
        <v>7</v>
      </c>
      <c r="I339" s="10">
        <v>0</v>
      </c>
      <c r="J339" s="10">
        <v>3</v>
      </c>
      <c r="K339" s="10">
        <v>3</v>
      </c>
      <c r="L339" s="10">
        <v>0</v>
      </c>
      <c r="M339" s="11">
        <v>15000</v>
      </c>
      <c r="N339" s="11">
        <v>13064.52</v>
      </c>
      <c r="O339" s="11">
        <v>0</v>
      </c>
      <c r="P339" s="11">
        <v>0</v>
      </c>
      <c r="Q339" s="11">
        <v>13064.77</v>
      </c>
      <c r="R339" s="11">
        <v>0</v>
      </c>
      <c r="S339" s="11">
        <v>13064.77</v>
      </c>
    </row>
    <row r="340" spans="1:19" x14ac:dyDescent="0.3">
      <c r="A340" s="8" t="s">
        <v>14</v>
      </c>
      <c r="B340" s="9" t="s">
        <v>262</v>
      </c>
      <c r="C340" s="9" t="s">
        <v>54</v>
      </c>
      <c r="D340" s="9" t="s">
        <v>303</v>
      </c>
      <c r="E340" s="9" t="s">
        <v>119</v>
      </c>
      <c r="F340" s="10">
        <v>31</v>
      </c>
      <c r="G340" s="10">
        <v>26</v>
      </c>
      <c r="H340" s="10">
        <v>5</v>
      </c>
      <c r="I340" s="10">
        <v>4</v>
      </c>
      <c r="J340" s="10">
        <v>8</v>
      </c>
      <c r="K340" s="10">
        <v>5</v>
      </c>
      <c r="L340" s="10">
        <v>3</v>
      </c>
      <c r="M340" s="11">
        <v>16000</v>
      </c>
      <c r="N340" s="11">
        <v>16000</v>
      </c>
      <c r="O340" s="11">
        <v>0</v>
      </c>
      <c r="P340" s="11">
        <v>0</v>
      </c>
      <c r="Q340" s="11">
        <v>16000.39</v>
      </c>
      <c r="R340" s="11">
        <v>0</v>
      </c>
      <c r="S340" s="11">
        <v>16000.39</v>
      </c>
    </row>
    <row r="341" spans="1:19" x14ac:dyDescent="0.3">
      <c r="A341" s="8" t="s">
        <v>14</v>
      </c>
      <c r="B341" s="9" t="s">
        <v>263</v>
      </c>
      <c r="C341" s="9" t="s">
        <v>54</v>
      </c>
      <c r="D341" s="9" t="s">
        <v>328</v>
      </c>
      <c r="E341" s="9" t="s">
        <v>56</v>
      </c>
      <c r="F341" s="10">
        <v>31</v>
      </c>
      <c r="G341" s="10">
        <v>30</v>
      </c>
      <c r="H341" s="10">
        <v>1</v>
      </c>
      <c r="I341" s="10">
        <v>4</v>
      </c>
      <c r="J341" s="10">
        <v>8</v>
      </c>
      <c r="K341" s="10">
        <v>1</v>
      </c>
      <c r="L341" s="10">
        <v>7</v>
      </c>
      <c r="M341" s="11">
        <v>9500</v>
      </c>
      <c r="N341" s="11">
        <v>9500</v>
      </c>
      <c r="O341" s="11">
        <v>0</v>
      </c>
      <c r="P341" s="11">
        <v>0</v>
      </c>
      <c r="Q341" s="11">
        <v>9500.41</v>
      </c>
      <c r="R341" s="11">
        <v>0</v>
      </c>
      <c r="S341" s="11">
        <v>9500.41</v>
      </c>
    </row>
    <row r="342" spans="1:19" x14ac:dyDescent="0.3">
      <c r="A342" s="8" t="s">
        <v>14</v>
      </c>
      <c r="B342" s="9" t="s">
        <v>265</v>
      </c>
      <c r="C342" s="9" t="s">
        <v>54</v>
      </c>
      <c r="D342" s="9" t="s">
        <v>302</v>
      </c>
      <c r="E342" s="9"/>
      <c r="F342" s="10">
        <v>31</v>
      </c>
      <c r="G342" s="10">
        <v>0</v>
      </c>
      <c r="H342" s="10">
        <v>31</v>
      </c>
      <c r="I342" s="10">
        <v>0</v>
      </c>
      <c r="J342" s="10">
        <v>0</v>
      </c>
      <c r="K342" s="10">
        <v>0</v>
      </c>
      <c r="L342" s="10">
        <v>0</v>
      </c>
      <c r="M342" s="11">
        <v>9500</v>
      </c>
      <c r="N342" s="11">
        <v>0</v>
      </c>
      <c r="O342" s="11">
        <v>0</v>
      </c>
      <c r="P342" s="11">
        <v>0</v>
      </c>
      <c r="Q342" s="11">
        <v>3666.67</v>
      </c>
      <c r="R342" s="11">
        <v>0</v>
      </c>
      <c r="S342" s="11">
        <v>3666.67</v>
      </c>
    </row>
    <row r="343" spans="1:19" x14ac:dyDescent="0.3">
      <c r="A343" s="8" t="s">
        <v>14</v>
      </c>
      <c r="B343" s="9" t="s">
        <v>266</v>
      </c>
      <c r="C343" s="9" t="s">
        <v>54</v>
      </c>
      <c r="D343" s="9" t="s">
        <v>315</v>
      </c>
      <c r="E343" s="9" t="s">
        <v>97</v>
      </c>
      <c r="F343" s="10">
        <v>31</v>
      </c>
      <c r="G343" s="10">
        <v>0</v>
      </c>
      <c r="H343" s="10">
        <v>31</v>
      </c>
      <c r="I343" s="10">
        <v>4</v>
      </c>
      <c r="J343" s="10">
        <v>4</v>
      </c>
      <c r="K343" s="10">
        <v>4</v>
      </c>
      <c r="L343" s="10">
        <v>4</v>
      </c>
      <c r="M343" s="11">
        <v>12000</v>
      </c>
      <c r="N343" s="11">
        <v>1548.39</v>
      </c>
      <c r="O343" s="11">
        <v>4009.68</v>
      </c>
      <c r="P343" s="11">
        <v>0</v>
      </c>
      <c r="Q343" s="11">
        <v>-2461.29</v>
      </c>
      <c r="R343" s="11">
        <v>0</v>
      </c>
      <c r="S343" s="11">
        <v>-2461.29</v>
      </c>
    </row>
    <row r="344" spans="1:19" x14ac:dyDescent="0.3">
      <c r="A344" s="8" t="s">
        <v>14</v>
      </c>
      <c r="B344" s="9" t="s">
        <v>267</v>
      </c>
      <c r="C344" s="9" t="s">
        <v>54</v>
      </c>
      <c r="D344" s="9" t="s">
        <v>329</v>
      </c>
      <c r="E344" s="9"/>
      <c r="F344" s="10">
        <v>31</v>
      </c>
      <c r="G344" s="10">
        <v>0</v>
      </c>
      <c r="H344" s="10">
        <v>31</v>
      </c>
      <c r="I344" s="10">
        <v>0</v>
      </c>
      <c r="J344" s="10">
        <v>0</v>
      </c>
      <c r="K344" s="10">
        <v>0</v>
      </c>
      <c r="L344" s="10">
        <v>0</v>
      </c>
      <c r="M344" s="11">
        <v>9500</v>
      </c>
      <c r="N344" s="11">
        <v>0</v>
      </c>
      <c r="O344" s="11">
        <v>0.32</v>
      </c>
      <c r="P344" s="11">
        <v>0</v>
      </c>
      <c r="Q344" s="11">
        <v>-0.32</v>
      </c>
      <c r="R344" s="11">
        <v>0</v>
      </c>
      <c r="S344" s="11">
        <v>-0.32</v>
      </c>
    </row>
    <row r="345" spans="1:19" x14ac:dyDescent="0.3">
      <c r="A345" s="8" t="s">
        <v>14</v>
      </c>
      <c r="B345" s="9" t="s">
        <v>269</v>
      </c>
      <c r="C345" s="9" t="s">
        <v>54</v>
      </c>
      <c r="D345" s="9" t="s">
        <v>270</v>
      </c>
      <c r="E345" s="9" t="s">
        <v>56</v>
      </c>
      <c r="F345" s="10">
        <v>31</v>
      </c>
      <c r="G345" s="10">
        <v>17</v>
      </c>
      <c r="H345" s="10">
        <v>14</v>
      </c>
      <c r="I345" s="10">
        <v>2</v>
      </c>
      <c r="J345" s="10">
        <v>4</v>
      </c>
      <c r="K345" s="10">
        <v>4</v>
      </c>
      <c r="L345" s="10">
        <v>0</v>
      </c>
      <c r="M345" s="11">
        <v>15000</v>
      </c>
      <c r="N345" s="11">
        <v>10161.290000000001</v>
      </c>
      <c r="O345" s="11">
        <v>3.23</v>
      </c>
      <c r="P345" s="11">
        <v>0</v>
      </c>
      <c r="Q345" s="11">
        <v>10158.06</v>
      </c>
      <c r="R345" s="11">
        <v>0</v>
      </c>
      <c r="S345" s="11">
        <v>10158.06</v>
      </c>
    </row>
    <row r="346" spans="1:19" x14ac:dyDescent="0.3">
      <c r="A346" s="8" t="s">
        <v>14</v>
      </c>
      <c r="B346" s="9" t="s">
        <v>271</v>
      </c>
      <c r="C346" s="9" t="s">
        <v>54</v>
      </c>
      <c r="D346" s="9" t="s">
        <v>207</v>
      </c>
      <c r="E346" s="9" t="s">
        <v>56</v>
      </c>
      <c r="F346" s="10">
        <v>31</v>
      </c>
      <c r="G346" s="10">
        <v>0</v>
      </c>
      <c r="H346" s="10">
        <v>31</v>
      </c>
      <c r="I346" s="10">
        <v>0</v>
      </c>
      <c r="J346" s="10">
        <v>0</v>
      </c>
      <c r="K346" s="10">
        <v>0</v>
      </c>
      <c r="L346" s="10">
        <v>0</v>
      </c>
      <c r="M346" s="11">
        <v>15500</v>
      </c>
      <c r="N346" s="11">
        <v>0</v>
      </c>
      <c r="O346" s="11">
        <v>3.33</v>
      </c>
      <c r="P346" s="11">
        <v>0</v>
      </c>
      <c r="Q346" s="11">
        <v>-3.33</v>
      </c>
      <c r="R346" s="11">
        <v>0</v>
      </c>
      <c r="S346" s="11">
        <v>-3.33</v>
      </c>
    </row>
    <row r="347" spans="1:19" x14ac:dyDescent="0.3">
      <c r="A347" s="8" t="s">
        <v>14</v>
      </c>
      <c r="B347" s="9" t="s">
        <v>272</v>
      </c>
      <c r="C347" s="9" t="s">
        <v>54</v>
      </c>
      <c r="D347" s="9" t="s">
        <v>303</v>
      </c>
      <c r="E347" s="9"/>
      <c r="F347" s="10">
        <v>31</v>
      </c>
      <c r="G347" s="10">
        <v>0</v>
      </c>
      <c r="H347" s="10">
        <v>31</v>
      </c>
      <c r="I347" s="10">
        <v>0</v>
      </c>
      <c r="J347" s="10">
        <v>0</v>
      </c>
      <c r="K347" s="10">
        <v>0</v>
      </c>
      <c r="L347" s="10">
        <v>0</v>
      </c>
      <c r="M347" s="11">
        <v>16000</v>
      </c>
      <c r="N347" s="11">
        <v>0</v>
      </c>
      <c r="O347" s="11">
        <v>0</v>
      </c>
      <c r="P347" s="11">
        <v>0</v>
      </c>
      <c r="Q347" s="11">
        <v>483.33</v>
      </c>
      <c r="R347" s="11">
        <v>0</v>
      </c>
      <c r="S347" s="11">
        <v>483.33</v>
      </c>
    </row>
    <row r="348" spans="1:19" x14ac:dyDescent="0.3">
      <c r="A348" s="8" t="s">
        <v>14</v>
      </c>
      <c r="B348" s="9" t="s">
        <v>274</v>
      </c>
      <c r="C348" s="9" t="s">
        <v>54</v>
      </c>
      <c r="D348" s="9" t="s">
        <v>330</v>
      </c>
      <c r="E348" s="9"/>
      <c r="F348" s="10">
        <v>31</v>
      </c>
      <c r="G348" s="10">
        <v>0</v>
      </c>
      <c r="H348" s="10">
        <v>31</v>
      </c>
      <c r="I348" s="10">
        <v>0</v>
      </c>
      <c r="J348" s="10">
        <v>0</v>
      </c>
      <c r="K348" s="10">
        <v>0</v>
      </c>
      <c r="L348" s="10">
        <v>0</v>
      </c>
      <c r="M348" s="11">
        <v>9500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</row>
    <row r="349" spans="1:19" x14ac:dyDescent="0.3">
      <c r="A349" s="8" t="s">
        <v>14</v>
      </c>
      <c r="B349" s="9" t="s">
        <v>276</v>
      </c>
      <c r="C349" s="9" t="s">
        <v>54</v>
      </c>
      <c r="D349" s="9" t="s">
        <v>255</v>
      </c>
      <c r="E349" s="9" t="s">
        <v>56</v>
      </c>
      <c r="F349" s="10">
        <v>31</v>
      </c>
      <c r="G349" s="10">
        <v>30</v>
      </c>
      <c r="H349" s="10">
        <v>1</v>
      </c>
      <c r="I349" s="10">
        <v>4</v>
      </c>
      <c r="J349" s="10">
        <v>8</v>
      </c>
      <c r="K349" s="10">
        <v>1</v>
      </c>
      <c r="L349" s="10">
        <v>7</v>
      </c>
      <c r="M349" s="11">
        <v>9500</v>
      </c>
      <c r="N349" s="11">
        <v>9500</v>
      </c>
      <c r="O349" s="11">
        <v>0.52</v>
      </c>
      <c r="P349" s="11">
        <v>0</v>
      </c>
      <c r="Q349" s="11">
        <v>9499.48</v>
      </c>
      <c r="R349" s="11">
        <v>0</v>
      </c>
      <c r="S349" s="11">
        <v>9499.48</v>
      </c>
    </row>
    <row r="350" spans="1:19" x14ac:dyDescent="0.3">
      <c r="A350" s="8" t="s">
        <v>14</v>
      </c>
      <c r="B350" s="9" t="s">
        <v>278</v>
      </c>
      <c r="C350" s="9" t="s">
        <v>54</v>
      </c>
      <c r="D350" s="9" t="s">
        <v>302</v>
      </c>
      <c r="E350" s="9" t="s">
        <v>92</v>
      </c>
      <c r="F350" s="10">
        <v>31</v>
      </c>
      <c r="G350" s="10">
        <v>0</v>
      </c>
      <c r="H350" s="10">
        <v>31</v>
      </c>
      <c r="I350" s="10">
        <v>0</v>
      </c>
      <c r="J350" s="10">
        <v>0</v>
      </c>
      <c r="K350" s="10">
        <v>0</v>
      </c>
      <c r="L350" s="10">
        <v>0</v>
      </c>
      <c r="M350" s="11">
        <v>9500</v>
      </c>
      <c r="N350" s="11">
        <v>0</v>
      </c>
      <c r="O350" s="11">
        <v>87.54</v>
      </c>
      <c r="P350" s="11">
        <v>0</v>
      </c>
      <c r="Q350" s="11">
        <v>-87.54</v>
      </c>
      <c r="R350" s="11">
        <v>0</v>
      </c>
      <c r="S350" s="11">
        <v>-87.54</v>
      </c>
    </row>
    <row r="351" spans="1:19" x14ac:dyDescent="0.3">
      <c r="A351" s="8" t="s">
        <v>14</v>
      </c>
      <c r="B351" s="9" t="s">
        <v>279</v>
      </c>
      <c r="C351" s="9" t="s">
        <v>54</v>
      </c>
      <c r="D351" s="9" t="s">
        <v>301</v>
      </c>
      <c r="E351" s="9"/>
      <c r="F351" s="10">
        <v>31</v>
      </c>
      <c r="G351" s="10">
        <v>0</v>
      </c>
      <c r="H351" s="10">
        <v>31</v>
      </c>
      <c r="I351" s="10">
        <v>0</v>
      </c>
      <c r="J351" s="10">
        <v>0</v>
      </c>
      <c r="K351" s="10">
        <v>0</v>
      </c>
      <c r="L351" s="10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</row>
    <row r="352" spans="1:19" x14ac:dyDescent="0.3">
      <c r="A352" s="8" t="s">
        <v>14</v>
      </c>
      <c r="B352" s="9" t="s">
        <v>280</v>
      </c>
      <c r="C352" s="9" t="s">
        <v>54</v>
      </c>
      <c r="D352" s="9" t="s">
        <v>303</v>
      </c>
      <c r="E352" s="9"/>
      <c r="F352" s="10">
        <v>31</v>
      </c>
      <c r="G352" s="10">
        <v>0</v>
      </c>
      <c r="H352" s="10">
        <v>31</v>
      </c>
      <c r="I352" s="10">
        <v>0</v>
      </c>
      <c r="J352" s="10">
        <v>0</v>
      </c>
      <c r="K352" s="10">
        <v>0</v>
      </c>
      <c r="L352" s="10">
        <v>0</v>
      </c>
      <c r="M352" s="11">
        <v>16000</v>
      </c>
      <c r="N352" s="11">
        <v>0</v>
      </c>
      <c r="O352" s="11">
        <v>0</v>
      </c>
      <c r="P352" s="11">
        <v>0</v>
      </c>
      <c r="Q352" s="11">
        <v>133.82</v>
      </c>
      <c r="R352" s="11">
        <v>0</v>
      </c>
      <c r="S352" s="11">
        <v>133.82</v>
      </c>
    </row>
    <row r="353" spans="1:19" x14ac:dyDescent="0.3">
      <c r="A353" s="8" t="s">
        <v>14</v>
      </c>
      <c r="B353" s="9" t="s">
        <v>281</v>
      </c>
      <c r="C353" s="9" t="s">
        <v>54</v>
      </c>
      <c r="D353" s="9" t="s">
        <v>301</v>
      </c>
      <c r="E353" s="9" t="s">
        <v>56</v>
      </c>
      <c r="F353" s="10">
        <v>31</v>
      </c>
      <c r="G353" s="10">
        <v>30</v>
      </c>
      <c r="H353" s="10">
        <v>1</v>
      </c>
      <c r="I353" s="10">
        <v>4</v>
      </c>
      <c r="J353" s="10">
        <v>8</v>
      </c>
      <c r="K353" s="10">
        <v>1</v>
      </c>
      <c r="L353" s="10">
        <v>7</v>
      </c>
      <c r="M353" s="11">
        <v>25000</v>
      </c>
      <c r="N353" s="11">
        <v>25000</v>
      </c>
      <c r="O353" s="11">
        <v>15000</v>
      </c>
      <c r="P353" s="11">
        <v>0</v>
      </c>
      <c r="Q353" s="11">
        <v>10000</v>
      </c>
      <c r="R353" s="11">
        <v>0</v>
      </c>
      <c r="S353" s="11">
        <v>10000</v>
      </c>
    </row>
    <row r="354" spans="1:19" x14ac:dyDescent="0.3">
      <c r="A354" s="8" t="s">
        <v>14</v>
      </c>
      <c r="B354" s="9" t="s">
        <v>282</v>
      </c>
      <c r="C354" s="9" t="s">
        <v>54</v>
      </c>
      <c r="D354" s="9" t="s">
        <v>311</v>
      </c>
      <c r="E354" s="9" t="s">
        <v>119</v>
      </c>
      <c r="F354" s="10">
        <v>31</v>
      </c>
      <c r="G354" s="10">
        <v>26</v>
      </c>
      <c r="H354" s="10">
        <v>5</v>
      </c>
      <c r="I354" s="10">
        <v>0</v>
      </c>
      <c r="J354" s="10">
        <v>4</v>
      </c>
      <c r="K354" s="10">
        <v>4</v>
      </c>
      <c r="L354" s="10">
        <v>0</v>
      </c>
      <c r="M354" s="11">
        <v>9500</v>
      </c>
      <c r="N354" s="11">
        <v>9193.5499999999993</v>
      </c>
      <c r="O354" s="11">
        <v>2.13</v>
      </c>
      <c r="P354" s="11">
        <v>0</v>
      </c>
      <c r="Q354" s="11">
        <v>9191.42</v>
      </c>
      <c r="R354" s="11">
        <v>0</v>
      </c>
      <c r="S354" s="11">
        <v>9191.42</v>
      </c>
    </row>
    <row r="355" spans="1:19" x14ac:dyDescent="0.3">
      <c r="A355" s="8" t="s">
        <v>14</v>
      </c>
      <c r="B355" s="9" t="s">
        <v>283</v>
      </c>
      <c r="C355" s="9" t="s">
        <v>54</v>
      </c>
      <c r="D355" s="9" t="s">
        <v>303</v>
      </c>
      <c r="E355" s="9" t="s">
        <v>119</v>
      </c>
      <c r="F355" s="10">
        <v>31</v>
      </c>
      <c r="G355" s="10">
        <v>27</v>
      </c>
      <c r="H355" s="10">
        <v>4</v>
      </c>
      <c r="I355" s="10">
        <v>0</v>
      </c>
      <c r="J355" s="10">
        <v>4</v>
      </c>
      <c r="K355" s="10">
        <v>4</v>
      </c>
      <c r="L355" s="10">
        <v>0</v>
      </c>
      <c r="M355" s="11">
        <v>16000</v>
      </c>
      <c r="N355" s="11">
        <v>16000</v>
      </c>
      <c r="O355" s="11">
        <v>0.54</v>
      </c>
      <c r="P355" s="11">
        <v>0</v>
      </c>
      <c r="Q355" s="11">
        <v>15999.46</v>
      </c>
      <c r="R355" s="11">
        <v>0</v>
      </c>
      <c r="S355" s="11">
        <v>15999.46</v>
      </c>
    </row>
    <row r="356" spans="1:19" x14ac:dyDescent="0.3">
      <c r="A356" s="8" t="s">
        <v>14</v>
      </c>
      <c r="B356" s="9" t="s">
        <v>284</v>
      </c>
      <c r="C356" s="9" t="s">
        <v>54</v>
      </c>
      <c r="D356" s="9" t="s">
        <v>311</v>
      </c>
      <c r="E356" s="9"/>
      <c r="F356" s="10">
        <v>31</v>
      </c>
      <c r="G356" s="10">
        <v>0</v>
      </c>
      <c r="H356" s="10">
        <v>31</v>
      </c>
      <c r="I356" s="10">
        <v>0</v>
      </c>
      <c r="J356" s="10">
        <v>0</v>
      </c>
      <c r="K356" s="10">
        <v>0</v>
      </c>
      <c r="L356" s="10">
        <v>0</v>
      </c>
      <c r="M356" s="11">
        <v>8500</v>
      </c>
      <c r="N356" s="11">
        <v>0</v>
      </c>
      <c r="O356" s="11">
        <v>0</v>
      </c>
      <c r="P356" s="11">
        <v>0</v>
      </c>
      <c r="Q356" s="11">
        <v>0.67</v>
      </c>
      <c r="R356" s="11">
        <v>0</v>
      </c>
      <c r="S356" s="11">
        <v>0.67</v>
      </c>
    </row>
    <row r="357" spans="1:19" x14ac:dyDescent="0.3">
      <c r="A357" s="8" t="s">
        <v>14</v>
      </c>
      <c r="B357" s="9" t="s">
        <v>285</v>
      </c>
      <c r="C357" s="9" t="s">
        <v>54</v>
      </c>
      <c r="D357" s="9" t="s">
        <v>306</v>
      </c>
      <c r="E357" s="9"/>
      <c r="F357" s="10">
        <v>31</v>
      </c>
      <c r="G357" s="10">
        <v>0</v>
      </c>
      <c r="H357" s="10">
        <v>31</v>
      </c>
      <c r="I357" s="10">
        <v>0</v>
      </c>
      <c r="J357" s="10">
        <v>0</v>
      </c>
      <c r="K357" s="10">
        <v>0</v>
      </c>
      <c r="L357" s="10">
        <v>0</v>
      </c>
      <c r="M357" s="11">
        <v>11000</v>
      </c>
      <c r="N357" s="11">
        <v>0</v>
      </c>
      <c r="O357" s="11">
        <v>0.03</v>
      </c>
      <c r="P357" s="11">
        <v>0</v>
      </c>
      <c r="Q357" s="11">
        <v>-0.03</v>
      </c>
      <c r="R357" s="11">
        <v>0</v>
      </c>
      <c r="S357" s="11">
        <v>-0.03</v>
      </c>
    </row>
    <row r="358" spans="1:19" x14ac:dyDescent="0.3">
      <c r="A358" s="8" t="s">
        <v>14</v>
      </c>
      <c r="B358" s="9" t="s">
        <v>286</v>
      </c>
      <c r="C358" s="9" t="s">
        <v>54</v>
      </c>
      <c r="D358" s="9" t="s">
        <v>311</v>
      </c>
      <c r="E358" s="9" t="s">
        <v>56</v>
      </c>
      <c r="F358" s="10">
        <v>31</v>
      </c>
      <c r="G358" s="10">
        <v>26</v>
      </c>
      <c r="H358" s="10">
        <v>5</v>
      </c>
      <c r="I358" s="10">
        <v>0</v>
      </c>
      <c r="J358" s="10">
        <v>4</v>
      </c>
      <c r="K358" s="10">
        <v>4</v>
      </c>
      <c r="L358" s="10">
        <v>0</v>
      </c>
      <c r="M358" s="11">
        <v>8500</v>
      </c>
      <c r="N358" s="11">
        <v>8225.81</v>
      </c>
      <c r="O358" s="11">
        <v>6.3</v>
      </c>
      <c r="P358" s="11">
        <v>0</v>
      </c>
      <c r="Q358" s="11">
        <v>8219.51</v>
      </c>
      <c r="R358" s="11">
        <v>2000</v>
      </c>
      <c r="S358" s="11">
        <v>6219.51</v>
      </c>
    </row>
    <row r="359" spans="1:19" x14ac:dyDescent="0.3">
      <c r="A359" s="8" t="s">
        <v>14</v>
      </c>
      <c r="B359" s="9" t="s">
        <v>287</v>
      </c>
      <c r="C359" s="9" t="s">
        <v>54</v>
      </c>
      <c r="D359" s="9" t="s">
        <v>301</v>
      </c>
      <c r="E359" s="9"/>
      <c r="F359" s="10">
        <v>31</v>
      </c>
      <c r="G359" s="10">
        <v>0</v>
      </c>
      <c r="H359" s="10">
        <v>31</v>
      </c>
      <c r="I359" s="10">
        <v>0</v>
      </c>
      <c r="J359" s="10">
        <v>0</v>
      </c>
      <c r="K359" s="10">
        <v>0</v>
      </c>
      <c r="L359" s="10">
        <v>0</v>
      </c>
      <c r="M359" s="11">
        <v>12000</v>
      </c>
      <c r="N359" s="11">
        <v>0</v>
      </c>
      <c r="O359" s="11">
        <v>0</v>
      </c>
      <c r="P359" s="11">
        <v>0</v>
      </c>
      <c r="Q359" s="11">
        <v>0.1</v>
      </c>
      <c r="R359" s="11">
        <v>0</v>
      </c>
      <c r="S359" s="11">
        <v>0.1</v>
      </c>
    </row>
    <row r="360" spans="1:19" x14ac:dyDescent="0.3">
      <c r="A360" s="8" t="s">
        <v>14</v>
      </c>
      <c r="B360" s="9" t="s">
        <v>288</v>
      </c>
      <c r="C360" s="9" t="s">
        <v>54</v>
      </c>
      <c r="D360" s="9" t="s">
        <v>302</v>
      </c>
      <c r="E360" s="9" t="s">
        <v>92</v>
      </c>
      <c r="F360" s="10">
        <v>31</v>
      </c>
      <c r="G360" s="10">
        <v>23</v>
      </c>
      <c r="H360" s="10">
        <v>8</v>
      </c>
      <c r="I360" s="10">
        <v>0</v>
      </c>
      <c r="J360" s="10">
        <v>3</v>
      </c>
      <c r="K360" s="10">
        <v>3</v>
      </c>
      <c r="L360" s="10">
        <v>0</v>
      </c>
      <c r="M360" s="11">
        <v>8500</v>
      </c>
      <c r="N360" s="11">
        <v>7129.03</v>
      </c>
      <c r="O360" s="11">
        <v>850.33</v>
      </c>
      <c r="P360" s="11">
        <v>0</v>
      </c>
      <c r="Q360" s="11">
        <v>6278.7</v>
      </c>
      <c r="R360" s="11">
        <v>0</v>
      </c>
      <c r="S360" s="11">
        <v>6278.7</v>
      </c>
    </row>
    <row r="361" spans="1:19" x14ac:dyDescent="0.3">
      <c r="A361" s="8" t="s">
        <v>14</v>
      </c>
      <c r="B361" s="9" t="s">
        <v>290</v>
      </c>
      <c r="C361" s="9" t="s">
        <v>54</v>
      </c>
      <c r="D361" s="9" t="s">
        <v>302</v>
      </c>
      <c r="E361" s="9" t="s">
        <v>56</v>
      </c>
      <c r="F361" s="10">
        <v>31</v>
      </c>
      <c r="G361" s="10">
        <v>26</v>
      </c>
      <c r="H361" s="10">
        <v>5</v>
      </c>
      <c r="I361" s="10">
        <v>0</v>
      </c>
      <c r="J361" s="10">
        <v>4</v>
      </c>
      <c r="K361" s="10">
        <v>4</v>
      </c>
      <c r="L361" s="10">
        <v>0</v>
      </c>
      <c r="M361" s="11">
        <v>9000</v>
      </c>
      <c r="N361" s="11">
        <v>8709.68</v>
      </c>
      <c r="O361" s="11">
        <v>0</v>
      </c>
      <c r="P361" s="11">
        <v>0</v>
      </c>
      <c r="Q361" s="11">
        <v>8710.1299999999992</v>
      </c>
      <c r="R361" s="11">
        <v>0</v>
      </c>
      <c r="S361" s="11">
        <v>8710.1299999999992</v>
      </c>
    </row>
    <row r="362" spans="1:19" x14ac:dyDescent="0.3">
      <c r="A362" s="8" t="s">
        <v>14</v>
      </c>
      <c r="B362" s="9" t="s">
        <v>291</v>
      </c>
      <c r="C362" s="9" t="s">
        <v>54</v>
      </c>
      <c r="D362" s="9" t="s">
        <v>301</v>
      </c>
      <c r="E362" s="9" t="s">
        <v>119</v>
      </c>
      <c r="F362" s="10">
        <v>31</v>
      </c>
      <c r="G362" s="10">
        <v>0</v>
      </c>
      <c r="H362" s="10">
        <v>31</v>
      </c>
      <c r="I362" s="10">
        <v>0</v>
      </c>
      <c r="J362" s="10">
        <v>0</v>
      </c>
      <c r="K362" s="10">
        <v>0</v>
      </c>
      <c r="L362" s="10">
        <v>0</v>
      </c>
      <c r="M362" s="11">
        <v>8500</v>
      </c>
      <c r="N362" s="11">
        <v>0</v>
      </c>
      <c r="O362" s="11">
        <v>7.24</v>
      </c>
      <c r="P362" s="11">
        <v>0</v>
      </c>
      <c r="Q362" s="11">
        <v>-7.24</v>
      </c>
      <c r="R362" s="11">
        <v>0</v>
      </c>
      <c r="S362" s="11">
        <v>-7.24</v>
      </c>
    </row>
    <row r="363" spans="1:19" x14ac:dyDescent="0.3">
      <c r="A363" s="8" t="s">
        <v>14</v>
      </c>
      <c r="B363" s="9" t="s">
        <v>292</v>
      </c>
      <c r="C363" s="9" t="s">
        <v>54</v>
      </c>
      <c r="D363" s="9" t="s">
        <v>307</v>
      </c>
      <c r="E363" s="9" t="s">
        <v>56</v>
      </c>
      <c r="F363" s="10">
        <v>31</v>
      </c>
      <c r="G363" s="10">
        <v>31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1">
        <v>9000</v>
      </c>
      <c r="N363" s="11">
        <v>9000</v>
      </c>
      <c r="O363" s="11">
        <v>1001.08</v>
      </c>
      <c r="P363" s="11">
        <v>0</v>
      </c>
      <c r="Q363" s="11">
        <v>7998.92</v>
      </c>
      <c r="R363" s="11">
        <v>0</v>
      </c>
      <c r="S363" s="11">
        <v>7998.92</v>
      </c>
    </row>
    <row r="364" spans="1:19" x14ac:dyDescent="0.3">
      <c r="A364" s="8" t="s">
        <v>14</v>
      </c>
      <c r="B364" s="9" t="s">
        <v>293</v>
      </c>
      <c r="C364" s="9" t="s">
        <v>54</v>
      </c>
      <c r="D364" s="9" t="s">
        <v>302</v>
      </c>
      <c r="E364" s="9"/>
      <c r="F364" s="10">
        <v>31</v>
      </c>
      <c r="G364" s="10">
        <v>0</v>
      </c>
      <c r="H364" s="10">
        <v>31</v>
      </c>
      <c r="I364" s="10">
        <v>0</v>
      </c>
      <c r="J364" s="10">
        <v>0</v>
      </c>
      <c r="K364" s="10">
        <v>0</v>
      </c>
      <c r="L364" s="10">
        <v>0</v>
      </c>
      <c r="M364" s="11">
        <v>8500</v>
      </c>
      <c r="N364" s="11">
        <v>0</v>
      </c>
      <c r="O364" s="11">
        <v>0</v>
      </c>
      <c r="P364" s="11">
        <v>0</v>
      </c>
      <c r="Q364" s="11">
        <v>3946.43</v>
      </c>
      <c r="R364" s="11">
        <v>0</v>
      </c>
      <c r="S364" s="11">
        <v>3946.43</v>
      </c>
    </row>
    <row r="365" spans="1:19" x14ac:dyDescent="0.3">
      <c r="A365" s="8" t="s">
        <v>14</v>
      </c>
      <c r="B365" s="9" t="s">
        <v>294</v>
      </c>
      <c r="C365" s="9" t="s">
        <v>54</v>
      </c>
      <c r="D365" s="9" t="s">
        <v>303</v>
      </c>
      <c r="E365" s="9" t="s">
        <v>56</v>
      </c>
      <c r="F365" s="10">
        <v>31</v>
      </c>
      <c r="G365" s="10">
        <v>28</v>
      </c>
      <c r="H365" s="10">
        <v>3</v>
      </c>
      <c r="I365" s="10">
        <v>1</v>
      </c>
      <c r="J365" s="10">
        <v>5</v>
      </c>
      <c r="K365" s="10">
        <v>3</v>
      </c>
      <c r="L365" s="10">
        <v>2</v>
      </c>
      <c r="M365" s="11">
        <v>16000</v>
      </c>
      <c r="N365" s="11">
        <v>16000</v>
      </c>
      <c r="O365" s="11">
        <v>0.39</v>
      </c>
      <c r="P365" s="11">
        <v>0</v>
      </c>
      <c r="Q365" s="11">
        <v>15999.61</v>
      </c>
      <c r="R365" s="11">
        <v>0</v>
      </c>
      <c r="S365" s="11">
        <v>15999.61</v>
      </c>
    </row>
    <row r="366" spans="1:19" x14ac:dyDescent="0.3">
      <c r="A366" s="8" t="s">
        <v>14</v>
      </c>
      <c r="B366" s="9" t="s">
        <v>295</v>
      </c>
      <c r="C366" s="9" t="s">
        <v>54</v>
      </c>
      <c r="D366" s="9" t="s">
        <v>315</v>
      </c>
      <c r="E366" s="9" t="s">
        <v>56</v>
      </c>
      <c r="F366" s="10">
        <v>31</v>
      </c>
      <c r="G366" s="10">
        <v>22</v>
      </c>
      <c r="H366" s="10">
        <v>9</v>
      </c>
      <c r="I366" s="10">
        <v>3</v>
      </c>
      <c r="J366" s="10">
        <v>6</v>
      </c>
      <c r="K366" s="10">
        <v>6</v>
      </c>
      <c r="L366" s="10">
        <v>0</v>
      </c>
      <c r="M366" s="11">
        <v>10000</v>
      </c>
      <c r="N366" s="11">
        <v>9032.26</v>
      </c>
      <c r="O366" s="11">
        <v>0</v>
      </c>
      <c r="P366" s="11">
        <v>0</v>
      </c>
      <c r="Q366" s="11">
        <v>9046.77</v>
      </c>
      <c r="R366" s="11">
        <v>0</v>
      </c>
      <c r="S366" s="11">
        <v>9046.77</v>
      </c>
    </row>
    <row r="367" spans="1:19" x14ac:dyDescent="0.3">
      <c r="A367" s="8" t="s">
        <v>14</v>
      </c>
      <c r="B367" s="9" t="s">
        <v>296</v>
      </c>
      <c r="C367" s="9" t="s">
        <v>54</v>
      </c>
      <c r="D367" s="9" t="s">
        <v>302</v>
      </c>
      <c r="E367" s="9" t="s">
        <v>92</v>
      </c>
      <c r="F367" s="10">
        <v>31</v>
      </c>
      <c r="G367" s="10">
        <v>31</v>
      </c>
      <c r="H367" s="10">
        <v>0</v>
      </c>
      <c r="I367" s="10">
        <v>0</v>
      </c>
      <c r="J367" s="10">
        <v>4</v>
      </c>
      <c r="K367" s="10">
        <v>0</v>
      </c>
      <c r="L367" s="10">
        <v>4</v>
      </c>
      <c r="M367" s="11">
        <v>9000</v>
      </c>
      <c r="N367" s="11">
        <v>9000</v>
      </c>
      <c r="O367" s="11">
        <v>0</v>
      </c>
      <c r="P367" s="11">
        <v>0</v>
      </c>
      <c r="Q367" s="11">
        <v>9000</v>
      </c>
      <c r="R367" s="11">
        <v>0</v>
      </c>
      <c r="S367" s="11">
        <v>9000</v>
      </c>
    </row>
    <row r="368" spans="1:19" x14ac:dyDescent="0.3">
      <c r="A368" s="8" t="s">
        <v>14</v>
      </c>
      <c r="B368" s="9" t="s">
        <v>297</v>
      </c>
      <c r="C368" s="9" t="s">
        <v>54</v>
      </c>
      <c r="D368" s="9" t="s">
        <v>202</v>
      </c>
      <c r="E368" s="9" t="s">
        <v>331</v>
      </c>
      <c r="F368" s="10">
        <v>31</v>
      </c>
      <c r="G368" s="10">
        <v>16</v>
      </c>
      <c r="H368" s="10">
        <v>15</v>
      </c>
      <c r="I368" s="10">
        <v>4</v>
      </c>
      <c r="J368" s="10">
        <v>6</v>
      </c>
      <c r="K368" s="10">
        <v>6</v>
      </c>
      <c r="L368" s="10">
        <v>0</v>
      </c>
      <c r="M368" s="11">
        <v>15000</v>
      </c>
      <c r="N368" s="11">
        <v>10645.16</v>
      </c>
      <c r="O368" s="11">
        <v>0</v>
      </c>
      <c r="P368" s="11">
        <v>0</v>
      </c>
      <c r="Q368" s="11">
        <v>10645.16</v>
      </c>
      <c r="R368" s="11">
        <v>0</v>
      </c>
      <c r="S368" s="11">
        <v>10645.16</v>
      </c>
    </row>
    <row r="369" spans="1:19" x14ac:dyDescent="0.3">
      <c r="A369" s="8" t="s">
        <v>14</v>
      </c>
      <c r="B369" s="9" t="s">
        <v>299</v>
      </c>
      <c r="C369" s="9" t="s">
        <v>300</v>
      </c>
      <c r="D369" s="9" t="s">
        <v>301</v>
      </c>
      <c r="E369" s="9" t="s">
        <v>59</v>
      </c>
      <c r="F369" s="10">
        <v>31</v>
      </c>
      <c r="G369" s="10">
        <v>31</v>
      </c>
      <c r="H369" s="10">
        <v>0</v>
      </c>
      <c r="I369" s="10">
        <v>0</v>
      </c>
      <c r="J369" s="10">
        <v>4</v>
      </c>
      <c r="K369" s="10">
        <v>0</v>
      </c>
      <c r="L369" s="10">
        <v>4</v>
      </c>
      <c r="M369" s="11">
        <v>8000</v>
      </c>
      <c r="N369" s="11">
        <v>8000</v>
      </c>
      <c r="O369" s="11">
        <v>0</v>
      </c>
      <c r="P369" s="11">
        <v>0</v>
      </c>
      <c r="Q369" s="11">
        <v>13400</v>
      </c>
      <c r="R369" s="11">
        <v>0</v>
      </c>
      <c r="S369" s="11">
        <v>13400</v>
      </c>
    </row>
    <row r="370" spans="1:19" x14ac:dyDescent="0.3">
      <c r="A370" s="8" t="s">
        <v>14</v>
      </c>
      <c r="B370" s="9" t="s">
        <v>332</v>
      </c>
      <c r="C370" s="9" t="s">
        <v>54</v>
      </c>
      <c r="D370" s="9" t="s">
        <v>307</v>
      </c>
      <c r="E370" s="9" t="s">
        <v>56</v>
      </c>
      <c r="F370" s="10">
        <v>31</v>
      </c>
      <c r="G370" s="10">
        <v>3</v>
      </c>
      <c r="H370" s="10">
        <v>28</v>
      </c>
      <c r="I370" s="10">
        <v>0</v>
      </c>
      <c r="J370" s="10">
        <v>0</v>
      </c>
      <c r="K370" s="10">
        <v>0</v>
      </c>
      <c r="L370" s="10">
        <v>0</v>
      </c>
      <c r="M370" s="11">
        <v>9000</v>
      </c>
      <c r="N370" s="11">
        <v>870.97</v>
      </c>
      <c r="O370" s="11">
        <v>0</v>
      </c>
      <c r="P370" s="11">
        <v>0</v>
      </c>
      <c r="Q370" s="11">
        <v>870.97</v>
      </c>
      <c r="R370" s="11">
        <v>0</v>
      </c>
      <c r="S370" s="11">
        <v>870.97</v>
      </c>
    </row>
    <row r="371" spans="1:19" x14ac:dyDescent="0.3">
      <c r="A371" s="8" t="s">
        <v>14</v>
      </c>
      <c r="B371" s="9" t="s">
        <v>333</v>
      </c>
      <c r="C371" s="9" t="s">
        <v>54</v>
      </c>
      <c r="D371" s="9" t="s">
        <v>303</v>
      </c>
      <c r="E371" s="9" t="s">
        <v>56</v>
      </c>
      <c r="F371" s="10">
        <v>31</v>
      </c>
      <c r="G371" s="10">
        <v>29</v>
      </c>
      <c r="H371" s="10">
        <v>2</v>
      </c>
      <c r="I371" s="10">
        <v>0</v>
      </c>
      <c r="J371" s="10">
        <v>4</v>
      </c>
      <c r="K371" s="10">
        <v>2</v>
      </c>
      <c r="L371" s="10">
        <v>2</v>
      </c>
      <c r="M371" s="11">
        <v>14000</v>
      </c>
      <c r="N371" s="11">
        <v>14000</v>
      </c>
      <c r="O371" s="11">
        <v>0</v>
      </c>
      <c r="P371" s="11">
        <v>0</v>
      </c>
      <c r="Q371" s="11">
        <v>14000</v>
      </c>
      <c r="R371" s="11">
        <v>0</v>
      </c>
      <c r="S371" s="11">
        <v>14000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7"/>
  <sheetViews>
    <sheetView zoomScaleNormal="100" workbookViewId="0"/>
  </sheetViews>
  <sheetFormatPr defaultColWidth="8.6640625" defaultRowHeight="14.4" x14ac:dyDescent="0.3"/>
  <cols>
    <col min="1" max="6" width="22" customWidth="1"/>
  </cols>
  <sheetData>
    <row r="1" spans="1:6" x14ac:dyDescent="0.3">
      <c r="A1" t="s">
        <v>48</v>
      </c>
      <c r="B1" t="s">
        <v>49</v>
      </c>
      <c r="C1" t="s">
        <v>50</v>
      </c>
      <c r="D1" t="s">
        <v>51</v>
      </c>
      <c r="F1" t="s">
        <v>334</v>
      </c>
    </row>
    <row r="2" spans="1:6" x14ac:dyDescent="0.3">
      <c r="A2" t="s">
        <v>3</v>
      </c>
      <c r="B2" t="s">
        <v>54</v>
      </c>
      <c r="C2" t="s">
        <v>301</v>
      </c>
      <c r="D2" t="s">
        <v>56</v>
      </c>
      <c r="F2" t="s">
        <v>13</v>
      </c>
    </row>
    <row r="3" spans="1:6" x14ac:dyDescent="0.3">
      <c r="A3" t="s">
        <v>57</v>
      </c>
      <c r="B3" t="s">
        <v>54</v>
      </c>
      <c r="C3" t="s">
        <v>302</v>
      </c>
      <c r="D3" t="s">
        <v>59</v>
      </c>
      <c r="F3" t="s">
        <v>14</v>
      </c>
    </row>
    <row r="4" spans="1:6" x14ac:dyDescent="0.3">
      <c r="A4" t="s">
        <v>60</v>
      </c>
      <c r="B4" t="s">
        <v>54</v>
      </c>
      <c r="C4" t="s">
        <v>302</v>
      </c>
      <c r="F4" t="s">
        <v>15</v>
      </c>
    </row>
    <row r="5" spans="1:6" x14ac:dyDescent="0.3">
      <c r="A5" t="s">
        <v>288</v>
      </c>
      <c r="B5" t="s">
        <v>54</v>
      </c>
      <c r="C5" t="s">
        <v>302</v>
      </c>
      <c r="D5" t="s">
        <v>92</v>
      </c>
      <c r="F5" t="s">
        <v>16</v>
      </c>
    </row>
    <row r="6" spans="1:6" x14ac:dyDescent="0.3">
      <c r="A6" t="s">
        <v>61</v>
      </c>
      <c r="B6" t="s">
        <v>54</v>
      </c>
      <c r="C6" t="s">
        <v>303</v>
      </c>
      <c r="F6" t="s">
        <v>17</v>
      </c>
    </row>
    <row r="7" spans="1:6" x14ac:dyDescent="0.3">
      <c r="A7" t="s">
        <v>63</v>
      </c>
      <c r="B7" t="s">
        <v>64</v>
      </c>
      <c r="C7" t="s">
        <v>303</v>
      </c>
      <c r="D7" t="s">
        <v>65</v>
      </c>
      <c r="F7" t="s">
        <v>18</v>
      </c>
    </row>
    <row r="8" spans="1:6" x14ac:dyDescent="0.3">
      <c r="A8" t="s">
        <v>66</v>
      </c>
      <c r="B8" t="s">
        <v>54</v>
      </c>
      <c r="C8" t="s">
        <v>304</v>
      </c>
      <c r="D8" t="s">
        <v>56</v>
      </c>
      <c r="F8" t="s">
        <v>19</v>
      </c>
    </row>
    <row r="9" spans="1:6" x14ac:dyDescent="0.3">
      <c r="A9" t="s">
        <v>68</v>
      </c>
      <c r="B9" t="s">
        <v>54</v>
      </c>
      <c r="C9" t="s">
        <v>305</v>
      </c>
      <c r="D9" t="s">
        <v>70</v>
      </c>
      <c r="F9" t="s">
        <v>20</v>
      </c>
    </row>
    <row r="10" spans="1:6" x14ac:dyDescent="0.3">
      <c r="A10" t="s">
        <v>292</v>
      </c>
      <c r="B10" t="s">
        <v>54</v>
      </c>
      <c r="C10" t="s">
        <v>307</v>
      </c>
      <c r="D10" t="s">
        <v>56</v>
      </c>
      <c r="F10" t="s">
        <v>21</v>
      </c>
    </row>
    <row r="11" spans="1:6" x14ac:dyDescent="0.3">
      <c r="A11" t="s">
        <v>71</v>
      </c>
      <c r="B11" t="s">
        <v>54</v>
      </c>
      <c r="C11" t="s">
        <v>304</v>
      </c>
      <c r="D11" t="s">
        <v>56</v>
      </c>
      <c r="F11" t="s">
        <v>22</v>
      </c>
    </row>
    <row r="12" spans="1:6" x14ac:dyDescent="0.3">
      <c r="A12" t="s">
        <v>72</v>
      </c>
      <c r="B12" t="s">
        <v>54</v>
      </c>
      <c r="C12" t="s">
        <v>302</v>
      </c>
      <c r="F12" t="s">
        <v>23</v>
      </c>
    </row>
    <row r="13" spans="1:6" x14ac:dyDescent="0.3">
      <c r="A13" t="s">
        <v>265</v>
      </c>
      <c r="B13" t="s">
        <v>54</v>
      </c>
      <c r="C13" t="s">
        <v>302</v>
      </c>
      <c r="F13" t="s">
        <v>24</v>
      </c>
    </row>
    <row r="14" spans="1:6" x14ac:dyDescent="0.3">
      <c r="A14" t="s">
        <v>73</v>
      </c>
      <c r="B14" t="s">
        <v>54</v>
      </c>
      <c r="C14" t="s">
        <v>302</v>
      </c>
    </row>
    <row r="15" spans="1:6" x14ac:dyDescent="0.3">
      <c r="A15" t="s">
        <v>74</v>
      </c>
      <c r="B15" t="s">
        <v>54</v>
      </c>
      <c r="C15" t="s">
        <v>301</v>
      </c>
    </row>
    <row r="16" spans="1:6" x14ac:dyDescent="0.3">
      <c r="A16" t="s">
        <v>75</v>
      </c>
      <c r="B16" t="s">
        <v>54</v>
      </c>
      <c r="C16" t="s">
        <v>302</v>
      </c>
    </row>
    <row r="17" spans="1:4" x14ac:dyDescent="0.3">
      <c r="A17" t="s">
        <v>76</v>
      </c>
      <c r="B17" t="s">
        <v>54</v>
      </c>
      <c r="C17" t="s">
        <v>303</v>
      </c>
      <c r="D17" t="s">
        <v>77</v>
      </c>
    </row>
    <row r="18" spans="1:4" x14ac:dyDescent="0.3">
      <c r="A18" t="s">
        <v>78</v>
      </c>
      <c r="B18" t="s">
        <v>64</v>
      </c>
      <c r="C18" t="s">
        <v>202</v>
      </c>
      <c r="D18" t="s">
        <v>80</v>
      </c>
    </row>
    <row r="19" spans="1:4" x14ac:dyDescent="0.3">
      <c r="A19" t="s">
        <v>81</v>
      </c>
      <c r="B19" t="s">
        <v>64</v>
      </c>
      <c r="C19" t="s">
        <v>82</v>
      </c>
      <c r="D19" t="s">
        <v>56</v>
      </c>
    </row>
    <row r="20" spans="1:4" x14ac:dyDescent="0.3">
      <c r="A20" t="s">
        <v>83</v>
      </c>
      <c r="B20" t="s">
        <v>64</v>
      </c>
      <c r="C20" t="s">
        <v>303</v>
      </c>
      <c r="D20" t="s">
        <v>84</v>
      </c>
    </row>
    <row r="21" spans="1:4" x14ac:dyDescent="0.3">
      <c r="A21" t="s">
        <v>85</v>
      </c>
      <c r="B21" t="s">
        <v>54</v>
      </c>
      <c r="C21" t="s">
        <v>301</v>
      </c>
    </row>
    <row r="22" spans="1:4" x14ac:dyDescent="0.3">
      <c r="A22" t="s">
        <v>86</v>
      </c>
      <c r="B22" t="s">
        <v>54</v>
      </c>
      <c r="C22" t="s">
        <v>302</v>
      </c>
    </row>
    <row r="23" spans="1:4" x14ac:dyDescent="0.3">
      <c r="A23" t="s">
        <v>87</v>
      </c>
      <c r="B23" t="s">
        <v>54</v>
      </c>
      <c r="C23" t="s">
        <v>306</v>
      </c>
      <c r="D23" t="s">
        <v>89</v>
      </c>
    </row>
    <row r="24" spans="1:4" x14ac:dyDescent="0.3">
      <c r="A24" t="s">
        <v>257</v>
      </c>
      <c r="B24" t="s">
        <v>54</v>
      </c>
      <c r="C24" t="s">
        <v>310</v>
      </c>
      <c r="D24" t="s">
        <v>327</v>
      </c>
    </row>
    <row r="25" spans="1:4" x14ac:dyDescent="0.3">
      <c r="A25" t="s">
        <v>280</v>
      </c>
      <c r="B25" t="s">
        <v>54</v>
      </c>
      <c r="C25" t="s">
        <v>303</v>
      </c>
    </row>
    <row r="26" spans="1:4" x14ac:dyDescent="0.3">
      <c r="A26" t="s">
        <v>90</v>
      </c>
      <c r="B26" t="s">
        <v>54</v>
      </c>
      <c r="C26" t="s">
        <v>303</v>
      </c>
    </row>
    <row r="27" spans="1:4" x14ac:dyDescent="0.3">
      <c r="A27" t="s">
        <v>93</v>
      </c>
      <c r="B27" t="s">
        <v>54</v>
      </c>
      <c r="C27" t="s">
        <v>305</v>
      </c>
      <c r="D27" t="s">
        <v>56</v>
      </c>
    </row>
    <row r="28" spans="1:4" x14ac:dyDescent="0.3">
      <c r="A28" t="s">
        <v>91</v>
      </c>
      <c r="B28" t="s">
        <v>64</v>
      </c>
      <c r="C28" t="s">
        <v>303</v>
      </c>
      <c r="D28" t="s">
        <v>92</v>
      </c>
    </row>
    <row r="29" spans="1:4" x14ac:dyDescent="0.3">
      <c r="A29" t="s">
        <v>259</v>
      </c>
      <c r="B29" t="s">
        <v>54</v>
      </c>
    </row>
    <row r="30" spans="1:4" x14ac:dyDescent="0.3">
      <c r="A30" t="s">
        <v>267</v>
      </c>
      <c r="B30" t="s">
        <v>54</v>
      </c>
      <c r="C30" t="s">
        <v>329</v>
      </c>
    </row>
    <row r="31" spans="1:4" x14ac:dyDescent="0.3">
      <c r="A31" t="s">
        <v>262</v>
      </c>
      <c r="B31" t="s">
        <v>54</v>
      </c>
      <c r="C31" t="s">
        <v>303</v>
      </c>
      <c r="D31" t="s">
        <v>119</v>
      </c>
    </row>
    <row r="32" spans="1:4" x14ac:dyDescent="0.3">
      <c r="A32" t="s">
        <v>94</v>
      </c>
      <c r="B32" t="s">
        <v>95</v>
      </c>
      <c r="C32" t="s">
        <v>303</v>
      </c>
    </row>
    <row r="33" spans="1:4" x14ac:dyDescent="0.3">
      <c r="A33" t="s">
        <v>96</v>
      </c>
      <c r="B33" t="s">
        <v>54</v>
      </c>
      <c r="C33" t="s">
        <v>301</v>
      </c>
      <c r="D33" t="s">
        <v>97</v>
      </c>
    </row>
    <row r="34" spans="1:4" x14ac:dyDescent="0.3">
      <c r="A34" t="s">
        <v>98</v>
      </c>
      <c r="B34" t="s">
        <v>54</v>
      </c>
      <c r="C34" t="s">
        <v>301</v>
      </c>
    </row>
    <row r="35" spans="1:4" x14ac:dyDescent="0.3">
      <c r="A35" t="s">
        <v>332</v>
      </c>
      <c r="B35" t="s">
        <v>54</v>
      </c>
      <c r="C35" t="s">
        <v>307</v>
      </c>
      <c r="D35" t="s">
        <v>56</v>
      </c>
    </row>
    <row r="36" spans="1:4" x14ac:dyDescent="0.3">
      <c r="A36" t="s">
        <v>99</v>
      </c>
      <c r="B36" t="s">
        <v>54</v>
      </c>
      <c r="C36" t="s">
        <v>307</v>
      </c>
      <c r="D36" t="s">
        <v>56</v>
      </c>
    </row>
    <row r="37" spans="1:4" x14ac:dyDescent="0.3">
      <c r="A37" t="s">
        <v>101</v>
      </c>
      <c r="B37" t="s">
        <v>54</v>
      </c>
      <c r="C37" t="s">
        <v>308</v>
      </c>
    </row>
    <row r="38" spans="1:4" x14ac:dyDescent="0.3">
      <c r="A38" t="s">
        <v>103</v>
      </c>
      <c r="B38" t="s">
        <v>54</v>
      </c>
      <c r="C38" t="s">
        <v>303</v>
      </c>
    </row>
    <row r="39" spans="1:4" x14ac:dyDescent="0.3">
      <c r="A39" t="s">
        <v>104</v>
      </c>
      <c r="B39" t="s">
        <v>54</v>
      </c>
      <c r="C39" t="s">
        <v>302</v>
      </c>
    </row>
    <row r="40" spans="1:4" x14ac:dyDescent="0.3">
      <c r="A40" t="s">
        <v>105</v>
      </c>
      <c r="B40" t="s">
        <v>64</v>
      </c>
      <c r="C40" t="s">
        <v>302</v>
      </c>
      <c r="D40" t="s">
        <v>92</v>
      </c>
    </row>
    <row r="41" spans="1:4" x14ac:dyDescent="0.3">
      <c r="A41" t="s">
        <v>106</v>
      </c>
      <c r="B41" t="s">
        <v>54</v>
      </c>
      <c r="C41" t="s">
        <v>301</v>
      </c>
      <c r="D41" t="s">
        <v>56</v>
      </c>
    </row>
    <row r="42" spans="1:4" x14ac:dyDescent="0.3">
      <c r="A42" t="s">
        <v>107</v>
      </c>
      <c r="B42" t="s">
        <v>54</v>
      </c>
      <c r="C42" t="s">
        <v>309</v>
      </c>
    </row>
    <row r="43" spans="1:4" x14ac:dyDescent="0.3">
      <c r="A43" t="s">
        <v>109</v>
      </c>
      <c r="B43" t="s">
        <v>54</v>
      </c>
      <c r="C43" t="s">
        <v>310</v>
      </c>
      <c r="D43" t="s">
        <v>59</v>
      </c>
    </row>
    <row r="44" spans="1:4" x14ac:dyDescent="0.3">
      <c r="A44" t="s">
        <v>254</v>
      </c>
      <c r="B44" t="s">
        <v>54</v>
      </c>
      <c r="C44" t="s">
        <v>277</v>
      </c>
    </row>
    <row r="45" spans="1:4" x14ac:dyDescent="0.3">
      <c r="A45" t="s">
        <v>272</v>
      </c>
      <c r="B45" t="s">
        <v>54</v>
      </c>
      <c r="C45" t="s">
        <v>303</v>
      </c>
    </row>
    <row r="46" spans="1:4" x14ac:dyDescent="0.3">
      <c r="A46" t="s">
        <v>111</v>
      </c>
      <c r="B46" t="s">
        <v>54</v>
      </c>
      <c r="C46" t="s">
        <v>307</v>
      </c>
      <c r="D46" t="s">
        <v>56</v>
      </c>
    </row>
    <row r="47" spans="1:4" x14ac:dyDescent="0.3">
      <c r="A47" t="s">
        <v>112</v>
      </c>
      <c r="B47" t="s">
        <v>54</v>
      </c>
      <c r="C47" t="s">
        <v>311</v>
      </c>
    </row>
    <row r="48" spans="1:4" x14ac:dyDescent="0.3">
      <c r="A48" t="s">
        <v>114</v>
      </c>
      <c r="B48" t="s">
        <v>54</v>
      </c>
      <c r="C48" t="s">
        <v>307</v>
      </c>
      <c r="D48" t="s">
        <v>56</v>
      </c>
    </row>
    <row r="49" spans="1:4" x14ac:dyDescent="0.3">
      <c r="A49" t="s">
        <v>115</v>
      </c>
      <c r="B49" t="s">
        <v>54</v>
      </c>
      <c r="C49" t="s">
        <v>312</v>
      </c>
      <c r="D49" t="s">
        <v>56</v>
      </c>
    </row>
    <row r="50" spans="1:4" x14ac:dyDescent="0.3">
      <c r="A50" t="s">
        <v>117</v>
      </c>
      <c r="B50" t="s">
        <v>64</v>
      </c>
      <c r="C50" t="s">
        <v>313</v>
      </c>
      <c r="D50" t="s">
        <v>119</v>
      </c>
    </row>
    <row r="51" spans="1:4" x14ac:dyDescent="0.3">
      <c r="A51" t="s">
        <v>120</v>
      </c>
      <c r="B51" t="s">
        <v>54</v>
      </c>
      <c r="C51" t="s">
        <v>304</v>
      </c>
    </row>
    <row r="52" spans="1:4" x14ac:dyDescent="0.3">
      <c r="A52" t="s">
        <v>121</v>
      </c>
      <c r="B52" t="s">
        <v>64</v>
      </c>
      <c r="C52" t="s">
        <v>314</v>
      </c>
      <c r="D52" t="s">
        <v>56</v>
      </c>
    </row>
    <row r="53" spans="1:4" x14ac:dyDescent="0.3">
      <c r="A53" t="s">
        <v>123</v>
      </c>
      <c r="B53" t="s">
        <v>54</v>
      </c>
      <c r="C53" t="s">
        <v>307</v>
      </c>
    </row>
    <row r="54" spans="1:4" x14ac:dyDescent="0.3">
      <c r="A54" t="s">
        <v>124</v>
      </c>
      <c r="B54" t="s">
        <v>64</v>
      </c>
      <c r="C54" t="s">
        <v>301</v>
      </c>
      <c r="D54" t="s">
        <v>59</v>
      </c>
    </row>
    <row r="55" spans="1:4" x14ac:dyDescent="0.3">
      <c r="A55" t="s">
        <v>125</v>
      </c>
      <c r="B55" t="s">
        <v>54</v>
      </c>
      <c r="C55" t="s">
        <v>306</v>
      </c>
    </row>
    <row r="56" spans="1:4" x14ac:dyDescent="0.3">
      <c r="A56" t="s">
        <v>126</v>
      </c>
      <c r="B56" t="s">
        <v>54</v>
      </c>
      <c r="C56" t="s">
        <v>304</v>
      </c>
    </row>
    <row r="57" spans="1:4" x14ac:dyDescent="0.3">
      <c r="A57" t="s">
        <v>127</v>
      </c>
      <c r="B57" t="s">
        <v>64</v>
      </c>
      <c r="C57" t="s">
        <v>310</v>
      </c>
      <c r="D57" t="s">
        <v>128</v>
      </c>
    </row>
    <row r="58" spans="1:4" x14ac:dyDescent="0.3">
      <c r="A58" t="s">
        <v>129</v>
      </c>
      <c r="B58" t="s">
        <v>54</v>
      </c>
      <c r="C58" t="s">
        <v>130</v>
      </c>
    </row>
    <row r="59" spans="1:4" x14ac:dyDescent="0.3">
      <c r="A59" t="s">
        <v>131</v>
      </c>
      <c r="B59" t="s">
        <v>54</v>
      </c>
      <c r="C59" t="s">
        <v>315</v>
      </c>
    </row>
    <row r="60" spans="1:4" x14ac:dyDescent="0.3">
      <c r="A60" t="s">
        <v>133</v>
      </c>
      <c r="B60" t="s">
        <v>64</v>
      </c>
      <c r="C60" t="s">
        <v>310</v>
      </c>
      <c r="D60" t="s">
        <v>134</v>
      </c>
    </row>
    <row r="61" spans="1:4" x14ac:dyDescent="0.3">
      <c r="A61" t="s">
        <v>279</v>
      </c>
      <c r="B61" t="s">
        <v>54</v>
      </c>
      <c r="C61" t="s">
        <v>301</v>
      </c>
    </row>
    <row r="62" spans="1:4" x14ac:dyDescent="0.3">
      <c r="A62" t="s">
        <v>135</v>
      </c>
      <c r="B62" t="s">
        <v>54</v>
      </c>
      <c r="C62" t="s">
        <v>302</v>
      </c>
    </row>
    <row r="63" spans="1:4" x14ac:dyDescent="0.3">
      <c r="A63" t="s">
        <v>136</v>
      </c>
      <c r="B63" t="s">
        <v>64</v>
      </c>
      <c r="C63" t="s">
        <v>301</v>
      </c>
      <c r="D63" t="s">
        <v>97</v>
      </c>
    </row>
    <row r="64" spans="1:4" x14ac:dyDescent="0.3">
      <c r="A64" t="s">
        <v>137</v>
      </c>
      <c r="B64" t="s">
        <v>54</v>
      </c>
      <c r="C64" t="s">
        <v>307</v>
      </c>
      <c r="D64" t="s">
        <v>56</v>
      </c>
    </row>
    <row r="65" spans="1:4" x14ac:dyDescent="0.3">
      <c r="A65" t="s">
        <v>138</v>
      </c>
      <c r="B65" t="s">
        <v>54</v>
      </c>
      <c r="C65" t="s">
        <v>303</v>
      </c>
    </row>
    <row r="66" spans="1:4" x14ac:dyDescent="0.3">
      <c r="A66" t="s">
        <v>139</v>
      </c>
      <c r="B66" t="s">
        <v>64</v>
      </c>
      <c r="C66" t="s">
        <v>316</v>
      </c>
      <c r="D66" t="s">
        <v>84</v>
      </c>
    </row>
    <row r="67" spans="1:4" x14ac:dyDescent="0.3">
      <c r="A67" t="s">
        <v>141</v>
      </c>
      <c r="B67" t="s">
        <v>64</v>
      </c>
      <c r="C67" t="s">
        <v>303</v>
      </c>
      <c r="D67" t="s">
        <v>97</v>
      </c>
    </row>
    <row r="68" spans="1:4" x14ac:dyDescent="0.3">
      <c r="A68" t="s">
        <v>142</v>
      </c>
      <c r="B68" t="s">
        <v>54</v>
      </c>
      <c r="C68" t="s">
        <v>305</v>
      </c>
      <c r="D68" t="s">
        <v>56</v>
      </c>
    </row>
    <row r="69" spans="1:4" x14ac:dyDescent="0.3">
      <c r="A69" t="s">
        <v>290</v>
      </c>
      <c r="B69" t="s">
        <v>54</v>
      </c>
      <c r="C69" t="s">
        <v>302</v>
      </c>
      <c r="D69" t="s">
        <v>56</v>
      </c>
    </row>
    <row r="70" spans="1:4" x14ac:dyDescent="0.3">
      <c r="A70" t="s">
        <v>143</v>
      </c>
      <c r="B70" t="s">
        <v>54</v>
      </c>
      <c r="C70" t="s">
        <v>303</v>
      </c>
      <c r="D70" t="s">
        <v>144</v>
      </c>
    </row>
    <row r="71" spans="1:4" x14ac:dyDescent="0.3">
      <c r="A71" t="s">
        <v>145</v>
      </c>
      <c r="B71" t="s">
        <v>54</v>
      </c>
      <c r="C71" t="s">
        <v>317</v>
      </c>
    </row>
    <row r="72" spans="1:4" x14ac:dyDescent="0.3">
      <c r="A72" t="s">
        <v>147</v>
      </c>
      <c r="B72" t="s">
        <v>54</v>
      </c>
      <c r="C72" t="s">
        <v>303</v>
      </c>
      <c r="D72" t="s">
        <v>59</v>
      </c>
    </row>
    <row r="73" spans="1:4" x14ac:dyDescent="0.3">
      <c r="A73" t="s">
        <v>148</v>
      </c>
      <c r="B73" t="s">
        <v>64</v>
      </c>
      <c r="C73" t="s">
        <v>301</v>
      </c>
      <c r="D73" t="s">
        <v>97</v>
      </c>
    </row>
    <row r="74" spans="1:4" x14ac:dyDescent="0.3">
      <c r="A74" t="s">
        <v>149</v>
      </c>
      <c r="B74" t="s">
        <v>54</v>
      </c>
      <c r="C74" t="s">
        <v>310</v>
      </c>
      <c r="D74" t="s">
        <v>56</v>
      </c>
    </row>
    <row r="75" spans="1:4" x14ac:dyDescent="0.3">
      <c r="A75" t="s">
        <v>150</v>
      </c>
      <c r="B75" t="s">
        <v>64</v>
      </c>
      <c r="C75" t="s">
        <v>306</v>
      </c>
      <c r="D75" t="s">
        <v>97</v>
      </c>
    </row>
    <row r="76" spans="1:4" x14ac:dyDescent="0.3">
      <c r="A76" t="s">
        <v>151</v>
      </c>
      <c r="B76" t="s">
        <v>64</v>
      </c>
      <c r="C76" t="s">
        <v>303</v>
      </c>
      <c r="D76" t="s">
        <v>119</v>
      </c>
    </row>
    <row r="77" spans="1:4" x14ac:dyDescent="0.3">
      <c r="A77" t="s">
        <v>152</v>
      </c>
      <c r="B77" t="s">
        <v>54</v>
      </c>
      <c r="C77" t="s">
        <v>306</v>
      </c>
    </row>
    <row r="78" spans="1:4" x14ac:dyDescent="0.3">
      <c r="A78" t="s">
        <v>153</v>
      </c>
      <c r="B78" t="s">
        <v>54</v>
      </c>
      <c r="C78" t="s">
        <v>154</v>
      </c>
      <c r="D78" t="s">
        <v>56</v>
      </c>
    </row>
    <row r="79" spans="1:4" x14ac:dyDescent="0.3">
      <c r="A79" t="s">
        <v>155</v>
      </c>
      <c r="B79" t="s">
        <v>54</v>
      </c>
      <c r="C79" t="s">
        <v>303</v>
      </c>
      <c r="D79" t="s">
        <v>242</v>
      </c>
    </row>
    <row r="80" spans="1:4" x14ac:dyDescent="0.3">
      <c r="A80" t="s">
        <v>156</v>
      </c>
      <c r="B80" t="s">
        <v>54</v>
      </c>
      <c r="C80" t="s">
        <v>310</v>
      </c>
      <c r="D80" t="s">
        <v>318</v>
      </c>
    </row>
    <row r="81" spans="1:4" x14ac:dyDescent="0.3">
      <c r="A81" t="s">
        <v>283</v>
      </c>
      <c r="B81" t="s">
        <v>54</v>
      </c>
      <c r="C81" t="s">
        <v>303</v>
      </c>
      <c r="D81" t="s">
        <v>119</v>
      </c>
    </row>
    <row r="82" spans="1:4" x14ac:dyDescent="0.3">
      <c r="A82" t="s">
        <v>157</v>
      </c>
      <c r="B82" t="s">
        <v>64</v>
      </c>
      <c r="C82" t="s">
        <v>316</v>
      </c>
      <c r="D82" t="s">
        <v>97</v>
      </c>
    </row>
    <row r="83" spans="1:4" x14ac:dyDescent="0.3">
      <c r="A83" t="s">
        <v>158</v>
      </c>
      <c r="B83" t="s">
        <v>64</v>
      </c>
      <c r="C83" t="s">
        <v>310</v>
      </c>
      <c r="D83" t="s">
        <v>84</v>
      </c>
    </row>
    <row r="84" spans="1:4" x14ac:dyDescent="0.3">
      <c r="A84" t="s">
        <v>159</v>
      </c>
      <c r="B84" t="s">
        <v>54</v>
      </c>
      <c r="C84" t="s">
        <v>303</v>
      </c>
      <c r="D84" t="s">
        <v>92</v>
      </c>
    </row>
    <row r="85" spans="1:4" x14ac:dyDescent="0.3">
      <c r="A85" t="s">
        <v>160</v>
      </c>
      <c r="B85" t="s">
        <v>54</v>
      </c>
      <c r="C85" t="s">
        <v>306</v>
      </c>
      <c r="D85" t="s">
        <v>56</v>
      </c>
    </row>
    <row r="86" spans="1:4" x14ac:dyDescent="0.3">
      <c r="A86" t="s">
        <v>260</v>
      </c>
      <c r="B86" t="s">
        <v>54</v>
      </c>
      <c r="C86" t="s">
        <v>307</v>
      </c>
      <c r="D86" t="s">
        <v>56</v>
      </c>
    </row>
    <row r="87" spans="1:4" x14ac:dyDescent="0.3">
      <c r="A87" t="s">
        <v>161</v>
      </c>
      <c r="B87" t="s">
        <v>54</v>
      </c>
      <c r="C87" t="s">
        <v>301</v>
      </c>
    </row>
    <row r="88" spans="1:4" x14ac:dyDescent="0.3">
      <c r="A88" t="s">
        <v>162</v>
      </c>
      <c r="B88" t="s">
        <v>54</v>
      </c>
      <c r="C88" t="s">
        <v>306</v>
      </c>
      <c r="D88" t="s">
        <v>56</v>
      </c>
    </row>
    <row r="89" spans="1:4" x14ac:dyDescent="0.3">
      <c r="A89" t="s">
        <v>271</v>
      </c>
      <c r="B89" t="s">
        <v>54</v>
      </c>
      <c r="C89" t="s">
        <v>207</v>
      </c>
      <c r="D89" t="s">
        <v>56</v>
      </c>
    </row>
    <row r="90" spans="1:4" x14ac:dyDescent="0.3">
      <c r="A90" t="s">
        <v>163</v>
      </c>
      <c r="B90" t="s">
        <v>54</v>
      </c>
      <c r="C90" t="s">
        <v>301</v>
      </c>
      <c r="D90" t="s">
        <v>319</v>
      </c>
    </row>
    <row r="91" spans="1:4" x14ac:dyDescent="0.3">
      <c r="A91" t="s">
        <v>165</v>
      </c>
      <c r="B91" t="s">
        <v>54</v>
      </c>
      <c r="C91" t="s">
        <v>166</v>
      </c>
      <c r="D91" t="s">
        <v>56</v>
      </c>
    </row>
    <row r="92" spans="1:4" x14ac:dyDescent="0.3">
      <c r="A92" t="s">
        <v>167</v>
      </c>
      <c r="B92" t="s">
        <v>54</v>
      </c>
      <c r="C92" t="s">
        <v>305</v>
      </c>
    </row>
    <row r="93" spans="1:4" x14ac:dyDescent="0.3">
      <c r="A93" t="s">
        <v>295</v>
      </c>
      <c r="B93" t="s">
        <v>54</v>
      </c>
      <c r="C93" t="s">
        <v>315</v>
      </c>
      <c r="D93" t="s">
        <v>56</v>
      </c>
    </row>
    <row r="94" spans="1:4" x14ac:dyDescent="0.3">
      <c r="A94" t="s">
        <v>168</v>
      </c>
      <c r="B94" t="s">
        <v>64</v>
      </c>
      <c r="C94" t="s">
        <v>303</v>
      </c>
    </row>
    <row r="95" spans="1:4" x14ac:dyDescent="0.3">
      <c r="A95" t="s">
        <v>169</v>
      </c>
      <c r="B95" t="s">
        <v>64</v>
      </c>
      <c r="C95" t="s">
        <v>301</v>
      </c>
    </row>
    <row r="96" spans="1:4" x14ac:dyDescent="0.3">
      <c r="A96" t="s">
        <v>294</v>
      </c>
      <c r="B96" t="s">
        <v>54</v>
      </c>
      <c r="C96" t="s">
        <v>303</v>
      </c>
      <c r="D96" t="s">
        <v>56</v>
      </c>
    </row>
    <row r="97" spans="1:4" x14ac:dyDescent="0.3">
      <c r="A97" t="s">
        <v>170</v>
      </c>
      <c r="B97" t="s">
        <v>54</v>
      </c>
      <c r="C97" t="s">
        <v>303</v>
      </c>
      <c r="D97" t="s">
        <v>56</v>
      </c>
    </row>
    <row r="98" spans="1:4" x14ac:dyDescent="0.3">
      <c r="A98" t="s">
        <v>276</v>
      </c>
      <c r="B98" t="s">
        <v>54</v>
      </c>
      <c r="C98" t="s">
        <v>255</v>
      </c>
      <c r="D98" t="s">
        <v>56</v>
      </c>
    </row>
    <row r="99" spans="1:4" x14ac:dyDescent="0.3">
      <c r="A99" t="s">
        <v>171</v>
      </c>
      <c r="B99" t="s">
        <v>54</v>
      </c>
      <c r="C99" t="s">
        <v>172</v>
      </c>
      <c r="D99" t="s">
        <v>56</v>
      </c>
    </row>
    <row r="100" spans="1:4" x14ac:dyDescent="0.3">
      <c r="A100" t="s">
        <v>173</v>
      </c>
      <c r="B100" t="s">
        <v>54</v>
      </c>
      <c r="C100" t="s">
        <v>307</v>
      </c>
      <c r="D100" t="s">
        <v>56</v>
      </c>
    </row>
    <row r="101" spans="1:4" x14ac:dyDescent="0.3">
      <c r="A101" t="s">
        <v>174</v>
      </c>
      <c r="B101" t="s">
        <v>54</v>
      </c>
      <c r="C101" t="s">
        <v>316</v>
      </c>
    </row>
    <row r="102" spans="1:4" x14ac:dyDescent="0.3">
      <c r="A102" t="s">
        <v>175</v>
      </c>
      <c r="B102" t="s">
        <v>54</v>
      </c>
      <c r="C102" t="s">
        <v>320</v>
      </c>
      <c r="D102" t="s">
        <v>92</v>
      </c>
    </row>
    <row r="103" spans="1:4" x14ac:dyDescent="0.3">
      <c r="A103" t="s">
        <v>177</v>
      </c>
      <c r="B103" t="s">
        <v>54</v>
      </c>
      <c r="C103" t="s">
        <v>303</v>
      </c>
      <c r="D103" t="s">
        <v>97</v>
      </c>
    </row>
    <row r="104" spans="1:4" x14ac:dyDescent="0.3">
      <c r="A104" t="s">
        <v>178</v>
      </c>
      <c r="B104" t="s">
        <v>64</v>
      </c>
      <c r="C104" t="s">
        <v>316</v>
      </c>
      <c r="D104" t="s">
        <v>97</v>
      </c>
    </row>
    <row r="105" spans="1:4" x14ac:dyDescent="0.3">
      <c r="A105" t="s">
        <v>266</v>
      </c>
      <c r="B105" t="s">
        <v>54</v>
      </c>
      <c r="C105" t="s">
        <v>315</v>
      </c>
      <c r="D105" t="s">
        <v>97</v>
      </c>
    </row>
    <row r="106" spans="1:4" x14ac:dyDescent="0.3">
      <c r="A106" t="s">
        <v>281</v>
      </c>
      <c r="B106" t="s">
        <v>54</v>
      </c>
      <c r="C106" t="s">
        <v>301</v>
      </c>
      <c r="D106" t="s">
        <v>56</v>
      </c>
    </row>
    <row r="107" spans="1:4" x14ac:dyDescent="0.3">
      <c r="A107" t="s">
        <v>333</v>
      </c>
      <c r="B107" t="s">
        <v>54</v>
      </c>
      <c r="C107" t="s">
        <v>303</v>
      </c>
      <c r="D107" t="s">
        <v>56</v>
      </c>
    </row>
    <row r="108" spans="1:4" x14ac:dyDescent="0.3">
      <c r="A108" t="s">
        <v>179</v>
      </c>
      <c r="B108" t="s">
        <v>54</v>
      </c>
      <c r="C108" t="s">
        <v>302</v>
      </c>
    </row>
    <row r="109" spans="1:4" x14ac:dyDescent="0.3">
      <c r="A109" t="s">
        <v>180</v>
      </c>
      <c r="B109" t="s">
        <v>64</v>
      </c>
      <c r="C109" t="s">
        <v>304</v>
      </c>
      <c r="D109" t="s">
        <v>59</v>
      </c>
    </row>
    <row r="110" spans="1:4" x14ac:dyDescent="0.3">
      <c r="A110" t="s">
        <v>181</v>
      </c>
      <c r="B110" t="s">
        <v>64</v>
      </c>
      <c r="C110" t="s">
        <v>182</v>
      </c>
      <c r="D110" t="s">
        <v>92</v>
      </c>
    </row>
    <row r="111" spans="1:4" x14ac:dyDescent="0.3">
      <c r="A111" t="s">
        <v>183</v>
      </c>
      <c r="B111" t="s">
        <v>54</v>
      </c>
      <c r="C111" t="s">
        <v>302</v>
      </c>
      <c r="D111" t="s">
        <v>92</v>
      </c>
    </row>
    <row r="112" spans="1:4" x14ac:dyDescent="0.3">
      <c r="A112" t="s">
        <v>184</v>
      </c>
      <c r="B112" t="s">
        <v>54</v>
      </c>
      <c r="C112" t="s">
        <v>321</v>
      </c>
      <c r="D112" t="s">
        <v>56</v>
      </c>
    </row>
    <row r="113" spans="1:4" x14ac:dyDescent="0.3">
      <c r="A113" t="s">
        <v>185</v>
      </c>
      <c r="B113" t="s">
        <v>54</v>
      </c>
      <c r="C113" t="s">
        <v>303</v>
      </c>
    </row>
    <row r="114" spans="1:4" x14ac:dyDescent="0.3">
      <c r="A114" t="s">
        <v>186</v>
      </c>
      <c r="B114" t="s">
        <v>54</v>
      </c>
      <c r="C114" t="s">
        <v>322</v>
      </c>
      <c r="D114" t="s">
        <v>56</v>
      </c>
    </row>
    <row r="115" spans="1:4" x14ac:dyDescent="0.3">
      <c r="A115" t="s">
        <v>188</v>
      </c>
      <c r="B115" t="s">
        <v>54</v>
      </c>
      <c r="C115" t="s">
        <v>303</v>
      </c>
    </row>
    <row r="116" spans="1:4" x14ac:dyDescent="0.3">
      <c r="A116" t="s">
        <v>189</v>
      </c>
      <c r="B116" t="s">
        <v>54</v>
      </c>
      <c r="C116" t="s">
        <v>307</v>
      </c>
    </row>
    <row r="117" spans="1:4" x14ac:dyDescent="0.3">
      <c r="A117" t="s">
        <v>190</v>
      </c>
      <c r="B117" t="s">
        <v>54</v>
      </c>
      <c r="C117" t="s">
        <v>311</v>
      </c>
    </row>
    <row r="118" spans="1:4" x14ac:dyDescent="0.3">
      <c r="A118" t="s">
        <v>191</v>
      </c>
      <c r="B118" t="s">
        <v>54</v>
      </c>
      <c r="C118" t="s">
        <v>323</v>
      </c>
      <c r="D118" t="s">
        <v>56</v>
      </c>
    </row>
    <row r="119" spans="1:4" x14ac:dyDescent="0.3">
      <c r="A119" t="s">
        <v>296</v>
      </c>
      <c r="B119" t="s">
        <v>54</v>
      </c>
      <c r="C119" t="s">
        <v>302</v>
      </c>
      <c r="D119" t="s">
        <v>92</v>
      </c>
    </row>
    <row r="120" spans="1:4" x14ac:dyDescent="0.3">
      <c r="A120" t="s">
        <v>193</v>
      </c>
      <c r="B120" t="s">
        <v>54</v>
      </c>
      <c r="C120" t="s">
        <v>302</v>
      </c>
    </row>
    <row r="121" spans="1:4" x14ac:dyDescent="0.3">
      <c r="A121" t="s">
        <v>194</v>
      </c>
      <c r="B121" t="s">
        <v>54</v>
      </c>
      <c r="C121" t="s">
        <v>307</v>
      </c>
      <c r="D121" t="s">
        <v>56</v>
      </c>
    </row>
    <row r="122" spans="1:4" x14ac:dyDescent="0.3">
      <c r="A122" t="s">
        <v>195</v>
      </c>
      <c r="B122" t="s">
        <v>54</v>
      </c>
      <c r="C122" t="s">
        <v>324</v>
      </c>
      <c r="D122" t="s">
        <v>56</v>
      </c>
    </row>
    <row r="123" spans="1:4" x14ac:dyDescent="0.3">
      <c r="A123" t="s">
        <v>197</v>
      </c>
      <c r="B123" t="s">
        <v>54</v>
      </c>
      <c r="C123" t="s">
        <v>301</v>
      </c>
    </row>
    <row r="124" spans="1:4" x14ac:dyDescent="0.3">
      <c r="A124" t="s">
        <v>198</v>
      </c>
      <c r="B124" t="s">
        <v>54</v>
      </c>
      <c r="C124" t="s">
        <v>307</v>
      </c>
      <c r="D124" t="s">
        <v>56</v>
      </c>
    </row>
    <row r="125" spans="1:4" x14ac:dyDescent="0.3">
      <c r="A125" t="s">
        <v>297</v>
      </c>
      <c r="B125" t="s">
        <v>54</v>
      </c>
      <c r="C125" t="s">
        <v>202</v>
      </c>
      <c r="D125" t="s">
        <v>331</v>
      </c>
    </row>
    <row r="126" spans="1:4" x14ac:dyDescent="0.3">
      <c r="A126" t="s">
        <v>199</v>
      </c>
      <c r="B126" t="s">
        <v>54</v>
      </c>
      <c r="C126" t="s">
        <v>301</v>
      </c>
    </row>
    <row r="127" spans="1:4" x14ac:dyDescent="0.3">
      <c r="A127" t="s">
        <v>200</v>
      </c>
      <c r="B127" t="s">
        <v>54</v>
      </c>
      <c r="C127" t="s">
        <v>311</v>
      </c>
    </row>
    <row r="128" spans="1:4" x14ac:dyDescent="0.3">
      <c r="A128" t="s">
        <v>201</v>
      </c>
      <c r="B128" t="s">
        <v>54</v>
      </c>
      <c r="C128" t="s">
        <v>202</v>
      </c>
    </row>
    <row r="129" spans="1:4" x14ac:dyDescent="0.3">
      <c r="A129" t="s">
        <v>203</v>
      </c>
      <c r="B129" t="s">
        <v>54</v>
      </c>
      <c r="C129" t="s">
        <v>302</v>
      </c>
      <c r="D129" t="s">
        <v>204</v>
      </c>
    </row>
    <row r="130" spans="1:4" x14ac:dyDescent="0.3">
      <c r="A130" t="s">
        <v>205</v>
      </c>
      <c r="B130" t="s">
        <v>64</v>
      </c>
      <c r="C130" t="s">
        <v>301</v>
      </c>
      <c r="D130" t="s">
        <v>92</v>
      </c>
    </row>
    <row r="131" spans="1:4" x14ac:dyDescent="0.3">
      <c r="A131" t="s">
        <v>206</v>
      </c>
      <c r="B131" t="s">
        <v>64</v>
      </c>
      <c r="C131" t="s">
        <v>207</v>
      </c>
      <c r="D131" t="s">
        <v>56</v>
      </c>
    </row>
    <row r="132" spans="1:4" x14ac:dyDescent="0.3">
      <c r="A132" t="s">
        <v>208</v>
      </c>
      <c r="B132" t="s">
        <v>64</v>
      </c>
      <c r="C132" t="s">
        <v>310</v>
      </c>
      <c r="D132" t="s">
        <v>56</v>
      </c>
    </row>
    <row r="133" spans="1:4" x14ac:dyDescent="0.3">
      <c r="A133" t="s">
        <v>284</v>
      </c>
      <c r="B133" t="s">
        <v>54</v>
      </c>
      <c r="C133" t="s">
        <v>311</v>
      </c>
    </row>
    <row r="134" spans="1:4" x14ac:dyDescent="0.3">
      <c r="A134" t="s">
        <v>209</v>
      </c>
      <c r="B134" t="s">
        <v>54</v>
      </c>
      <c r="C134" t="s">
        <v>306</v>
      </c>
      <c r="D134" t="s">
        <v>210</v>
      </c>
    </row>
    <row r="135" spans="1:4" x14ac:dyDescent="0.3">
      <c r="A135" t="s">
        <v>211</v>
      </c>
      <c r="B135" t="s">
        <v>54</v>
      </c>
      <c r="C135" t="s">
        <v>303</v>
      </c>
      <c r="D135" t="s">
        <v>119</v>
      </c>
    </row>
    <row r="136" spans="1:4" x14ac:dyDescent="0.3">
      <c r="A136" t="s">
        <v>212</v>
      </c>
      <c r="B136" t="s">
        <v>54</v>
      </c>
      <c r="C136" t="s">
        <v>323</v>
      </c>
    </row>
    <row r="137" spans="1:4" x14ac:dyDescent="0.3">
      <c r="A137" t="s">
        <v>213</v>
      </c>
      <c r="B137" t="s">
        <v>54</v>
      </c>
      <c r="C137" t="s">
        <v>312</v>
      </c>
    </row>
    <row r="138" spans="1:4" x14ac:dyDescent="0.3">
      <c r="A138" t="s">
        <v>214</v>
      </c>
      <c r="B138" t="s">
        <v>95</v>
      </c>
      <c r="C138" t="s">
        <v>303</v>
      </c>
    </row>
    <row r="139" spans="1:4" x14ac:dyDescent="0.3">
      <c r="A139" t="s">
        <v>282</v>
      </c>
      <c r="B139" t="s">
        <v>54</v>
      </c>
      <c r="C139" t="s">
        <v>311</v>
      </c>
      <c r="D139" t="s">
        <v>119</v>
      </c>
    </row>
    <row r="140" spans="1:4" x14ac:dyDescent="0.3">
      <c r="A140" t="s">
        <v>215</v>
      </c>
      <c r="B140" t="s">
        <v>64</v>
      </c>
      <c r="C140" t="s">
        <v>303</v>
      </c>
      <c r="D140" t="s">
        <v>92</v>
      </c>
    </row>
    <row r="141" spans="1:4" x14ac:dyDescent="0.3">
      <c r="A141" t="s">
        <v>216</v>
      </c>
      <c r="B141" t="s">
        <v>54</v>
      </c>
      <c r="C141" t="s">
        <v>302</v>
      </c>
    </row>
    <row r="142" spans="1:4" x14ac:dyDescent="0.3">
      <c r="A142" t="s">
        <v>258</v>
      </c>
      <c r="B142" t="s">
        <v>54</v>
      </c>
      <c r="C142" t="s">
        <v>302</v>
      </c>
      <c r="D142" t="s">
        <v>56</v>
      </c>
    </row>
    <row r="143" spans="1:4" x14ac:dyDescent="0.3">
      <c r="A143" t="s">
        <v>269</v>
      </c>
      <c r="B143" t="s">
        <v>54</v>
      </c>
      <c r="C143" t="s">
        <v>270</v>
      </c>
      <c r="D143" t="s">
        <v>56</v>
      </c>
    </row>
    <row r="144" spans="1:4" x14ac:dyDescent="0.3">
      <c r="A144" t="s">
        <v>217</v>
      </c>
      <c r="B144" t="s">
        <v>54</v>
      </c>
      <c r="C144" t="s">
        <v>306</v>
      </c>
      <c r="D144" t="s">
        <v>56</v>
      </c>
    </row>
    <row r="145" spans="1:4" x14ac:dyDescent="0.3">
      <c r="A145" t="s">
        <v>218</v>
      </c>
      <c r="B145" t="s">
        <v>54</v>
      </c>
      <c r="C145" t="s">
        <v>301</v>
      </c>
    </row>
    <row r="146" spans="1:4" x14ac:dyDescent="0.3">
      <c r="A146" t="s">
        <v>299</v>
      </c>
      <c r="B146" t="s">
        <v>300</v>
      </c>
      <c r="C146" t="s">
        <v>301</v>
      </c>
      <c r="D146" t="s">
        <v>59</v>
      </c>
    </row>
    <row r="147" spans="1:4" x14ac:dyDescent="0.3">
      <c r="A147" t="s">
        <v>219</v>
      </c>
      <c r="B147" t="s">
        <v>95</v>
      </c>
      <c r="C147" t="s">
        <v>303</v>
      </c>
    </row>
    <row r="148" spans="1:4" x14ac:dyDescent="0.3">
      <c r="A148" t="s">
        <v>220</v>
      </c>
      <c r="B148" t="s">
        <v>54</v>
      </c>
      <c r="C148" t="s">
        <v>207</v>
      </c>
    </row>
    <row r="149" spans="1:4" x14ac:dyDescent="0.3">
      <c r="A149" t="s">
        <v>278</v>
      </c>
      <c r="B149" t="s">
        <v>54</v>
      </c>
      <c r="C149" t="s">
        <v>302</v>
      </c>
      <c r="D149" t="s">
        <v>92</v>
      </c>
    </row>
    <row r="150" spans="1:4" x14ac:dyDescent="0.3">
      <c r="A150" t="s">
        <v>221</v>
      </c>
      <c r="B150" t="s">
        <v>54</v>
      </c>
      <c r="C150" t="s">
        <v>302</v>
      </c>
    </row>
    <row r="151" spans="1:4" x14ac:dyDescent="0.3">
      <c r="A151" t="s">
        <v>222</v>
      </c>
      <c r="B151" t="s">
        <v>95</v>
      </c>
      <c r="C151" t="s">
        <v>303</v>
      </c>
    </row>
    <row r="152" spans="1:4" x14ac:dyDescent="0.3">
      <c r="A152" t="s">
        <v>256</v>
      </c>
      <c r="B152" t="s">
        <v>54</v>
      </c>
      <c r="C152" t="s">
        <v>317</v>
      </c>
    </row>
    <row r="153" spans="1:4" x14ac:dyDescent="0.3">
      <c r="A153" t="s">
        <v>285</v>
      </c>
      <c r="B153" t="s">
        <v>54</v>
      </c>
      <c r="C153" t="s">
        <v>306</v>
      </c>
    </row>
    <row r="154" spans="1:4" x14ac:dyDescent="0.3">
      <c r="A154" t="s">
        <v>223</v>
      </c>
      <c r="B154" t="s">
        <v>54</v>
      </c>
      <c r="C154" t="s">
        <v>130</v>
      </c>
    </row>
    <row r="155" spans="1:4" x14ac:dyDescent="0.3">
      <c r="A155" t="s">
        <v>291</v>
      </c>
      <c r="B155" t="s">
        <v>54</v>
      </c>
      <c r="C155" t="s">
        <v>301</v>
      </c>
      <c r="D155" t="s">
        <v>119</v>
      </c>
    </row>
    <row r="156" spans="1:4" x14ac:dyDescent="0.3">
      <c r="A156" t="s">
        <v>293</v>
      </c>
      <c r="B156" t="s">
        <v>54</v>
      </c>
      <c r="C156" t="s">
        <v>302</v>
      </c>
    </row>
    <row r="157" spans="1:4" x14ac:dyDescent="0.3">
      <c r="A157" t="s">
        <v>287</v>
      </c>
      <c r="B157" t="s">
        <v>54</v>
      </c>
      <c r="C157" t="s">
        <v>301</v>
      </c>
    </row>
    <row r="158" spans="1:4" x14ac:dyDescent="0.3">
      <c r="A158" t="s">
        <v>224</v>
      </c>
      <c r="B158" t="s">
        <v>54</v>
      </c>
      <c r="C158" t="s">
        <v>306</v>
      </c>
      <c r="D158" t="s">
        <v>119</v>
      </c>
    </row>
    <row r="159" spans="1:4" x14ac:dyDescent="0.3">
      <c r="A159" t="s">
        <v>286</v>
      </c>
      <c r="B159" t="s">
        <v>54</v>
      </c>
      <c r="C159" t="s">
        <v>311</v>
      </c>
      <c r="D159" t="s">
        <v>56</v>
      </c>
    </row>
    <row r="160" spans="1:4" x14ac:dyDescent="0.3">
      <c r="A160" t="s">
        <v>226</v>
      </c>
      <c r="B160" t="s">
        <v>54</v>
      </c>
      <c r="C160" t="s">
        <v>307</v>
      </c>
      <c r="D160" t="s">
        <v>253</v>
      </c>
    </row>
    <row r="161" spans="1:4" x14ac:dyDescent="0.3">
      <c r="A161" t="s">
        <v>225</v>
      </c>
      <c r="B161" t="s">
        <v>64</v>
      </c>
      <c r="C161" t="s">
        <v>301</v>
      </c>
      <c r="D161" t="s">
        <v>56</v>
      </c>
    </row>
    <row r="162" spans="1:4" x14ac:dyDescent="0.3">
      <c r="A162" t="s">
        <v>263</v>
      </c>
      <c r="B162" t="s">
        <v>54</v>
      </c>
      <c r="C162" t="s">
        <v>328</v>
      </c>
      <c r="D162" t="s">
        <v>56</v>
      </c>
    </row>
    <row r="163" spans="1:4" x14ac:dyDescent="0.3">
      <c r="A163" t="s">
        <v>227</v>
      </c>
      <c r="B163" t="s">
        <v>64</v>
      </c>
      <c r="C163" t="s">
        <v>301</v>
      </c>
      <c r="D163" t="s">
        <v>97</v>
      </c>
    </row>
    <row r="164" spans="1:4" x14ac:dyDescent="0.3">
      <c r="A164" t="s">
        <v>228</v>
      </c>
      <c r="B164" t="s">
        <v>54</v>
      </c>
      <c r="C164" t="s">
        <v>307</v>
      </c>
    </row>
    <row r="165" spans="1:4" x14ac:dyDescent="0.3">
      <c r="A165" t="s">
        <v>229</v>
      </c>
      <c r="B165" t="s">
        <v>54</v>
      </c>
      <c r="C165" t="s">
        <v>302</v>
      </c>
    </row>
    <row r="166" spans="1:4" x14ac:dyDescent="0.3">
      <c r="A166" t="s">
        <v>230</v>
      </c>
      <c r="B166" t="s">
        <v>54</v>
      </c>
      <c r="C166" t="s">
        <v>303</v>
      </c>
      <c r="D166" t="s">
        <v>84</v>
      </c>
    </row>
    <row r="167" spans="1:4" x14ac:dyDescent="0.3">
      <c r="A167" t="s">
        <v>231</v>
      </c>
      <c r="B167" t="s">
        <v>64</v>
      </c>
      <c r="C167" t="s">
        <v>306</v>
      </c>
      <c r="D167" t="s">
        <v>92</v>
      </c>
    </row>
    <row r="168" spans="1:4" x14ac:dyDescent="0.3">
      <c r="A168" t="s">
        <v>232</v>
      </c>
      <c r="B168" t="s">
        <v>54</v>
      </c>
      <c r="C168" t="s">
        <v>312</v>
      </c>
    </row>
    <row r="169" spans="1:4" x14ac:dyDescent="0.3">
      <c r="A169" t="s">
        <v>233</v>
      </c>
      <c r="B169" t="s">
        <v>64</v>
      </c>
      <c r="C169" t="s">
        <v>301</v>
      </c>
      <c r="D169" t="s">
        <v>97</v>
      </c>
    </row>
    <row r="170" spans="1:4" x14ac:dyDescent="0.3">
      <c r="A170" t="s">
        <v>234</v>
      </c>
      <c r="B170" t="s">
        <v>54</v>
      </c>
      <c r="C170" t="s">
        <v>316</v>
      </c>
      <c r="D170" t="s">
        <v>92</v>
      </c>
    </row>
    <row r="171" spans="1:4" x14ac:dyDescent="0.3">
      <c r="A171" t="s">
        <v>235</v>
      </c>
      <c r="B171" t="s">
        <v>64</v>
      </c>
      <c r="C171" t="s">
        <v>301</v>
      </c>
      <c r="D171" t="s">
        <v>204</v>
      </c>
    </row>
    <row r="172" spans="1:4" x14ac:dyDescent="0.3">
      <c r="A172" t="s">
        <v>236</v>
      </c>
      <c r="B172" t="s">
        <v>54</v>
      </c>
      <c r="C172" t="s">
        <v>303</v>
      </c>
    </row>
    <row r="173" spans="1:4" x14ac:dyDescent="0.3">
      <c r="A173" t="s">
        <v>237</v>
      </c>
      <c r="B173" t="s">
        <v>54</v>
      </c>
      <c r="C173" t="s">
        <v>307</v>
      </c>
    </row>
    <row r="174" spans="1:4" x14ac:dyDescent="0.3">
      <c r="A174" t="s">
        <v>238</v>
      </c>
      <c r="B174" t="s">
        <v>54</v>
      </c>
      <c r="C174" t="s">
        <v>303</v>
      </c>
    </row>
    <row r="175" spans="1:4" x14ac:dyDescent="0.3">
      <c r="A175" t="s">
        <v>239</v>
      </c>
      <c r="B175" t="s">
        <v>64</v>
      </c>
      <c r="C175" t="s">
        <v>303</v>
      </c>
      <c r="D175" t="s">
        <v>240</v>
      </c>
    </row>
    <row r="176" spans="1:4" x14ac:dyDescent="0.3">
      <c r="A176" t="s">
        <v>241</v>
      </c>
      <c r="B176" t="s">
        <v>64</v>
      </c>
      <c r="C176" t="s">
        <v>303</v>
      </c>
      <c r="D176" t="s">
        <v>242</v>
      </c>
    </row>
    <row r="177" spans="1:4" x14ac:dyDescent="0.3">
      <c r="A177" t="s">
        <v>243</v>
      </c>
      <c r="B177" t="s">
        <v>54</v>
      </c>
      <c r="C177" t="s">
        <v>323</v>
      </c>
    </row>
    <row r="178" spans="1:4" x14ac:dyDescent="0.3">
      <c r="A178" t="s">
        <v>244</v>
      </c>
      <c r="B178" t="s">
        <v>54</v>
      </c>
      <c r="C178" t="s">
        <v>325</v>
      </c>
    </row>
    <row r="179" spans="1:4" x14ac:dyDescent="0.3">
      <c r="A179" t="s">
        <v>245</v>
      </c>
      <c r="B179" t="s">
        <v>64</v>
      </c>
      <c r="C179" t="s">
        <v>316</v>
      </c>
      <c r="D179" t="s">
        <v>92</v>
      </c>
    </row>
    <row r="180" spans="1:4" x14ac:dyDescent="0.3">
      <c r="A180" t="s">
        <v>274</v>
      </c>
      <c r="B180" t="s">
        <v>54</v>
      </c>
      <c r="C180" t="s">
        <v>330</v>
      </c>
    </row>
    <row r="181" spans="1:4" x14ac:dyDescent="0.3">
      <c r="A181" t="s">
        <v>246</v>
      </c>
      <c r="B181" t="s">
        <v>54</v>
      </c>
      <c r="C181" t="s">
        <v>301</v>
      </c>
      <c r="D181" t="s">
        <v>56</v>
      </c>
    </row>
    <row r="182" spans="1:4" x14ac:dyDescent="0.3">
      <c r="A182" t="s">
        <v>247</v>
      </c>
      <c r="B182" t="s">
        <v>54</v>
      </c>
      <c r="C182" t="s">
        <v>305</v>
      </c>
    </row>
    <row r="183" spans="1:4" x14ac:dyDescent="0.3">
      <c r="A183" t="s">
        <v>248</v>
      </c>
      <c r="B183" t="s">
        <v>54</v>
      </c>
      <c r="C183" t="s">
        <v>305</v>
      </c>
    </row>
    <row r="184" spans="1:4" x14ac:dyDescent="0.3">
      <c r="A184" t="s">
        <v>249</v>
      </c>
      <c r="B184" t="s">
        <v>54</v>
      </c>
      <c r="C184" t="s">
        <v>326</v>
      </c>
      <c r="D184" t="s">
        <v>56</v>
      </c>
    </row>
    <row r="185" spans="1:4" x14ac:dyDescent="0.3">
      <c r="A185" t="s">
        <v>251</v>
      </c>
      <c r="B185" t="s">
        <v>54</v>
      </c>
      <c r="C185" t="s">
        <v>301</v>
      </c>
    </row>
    <row r="186" spans="1:4" x14ac:dyDescent="0.3">
      <c r="A186" t="s">
        <v>252</v>
      </c>
      <c r="B186" t="s">
        <v>54</v>
      </c>
      <c r="C186" t="s">
        <v>301</v>
      </c>
      <c r="D186" t="s">
        <v>253</v>
      </c>
    </row>
    <row r="187" spans="1:4" x14ac:dyDescent="0.3">
      <c r="A187" t="s">
        <v>261</v>
      </c>
      <c r="B187" t="s">
        <v>54</v>
      </c>
      <c r="C187" t="s">
        <v>301</v>
      </c>
      <c r="D187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Company Summary</vt:lpstr>
      <vt:lpstr>Master 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fanta</cp:lastModifiedBy>
  <cp:revision>1</cp:revision>
  <dcterms:created xsi:type="dcterms:W3CDTF">2026-06-29T04:43:34Z</dcterms:created>
  <dcterms:modified xsi:type="dcterms:W3CDTF">2026-06-29T06:25:36Z</dcterms:modified>
  <dc:language>en-US</dc:language>
</cp:coreProperties>
</file>